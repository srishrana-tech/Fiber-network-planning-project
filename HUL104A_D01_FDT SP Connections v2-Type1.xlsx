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392746\Downloads\HUL104New\HUL104\HUL104A_D01\"/>
    </mc:Choice>
  </mc:AlternateContent>
  <xr:revisionPtr revIDLastSave="0" documentId="8_{1C22B42D-2D27-4FC6-9184-AD441A3FC2A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UL104A_D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3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8" i="1"/>
  <c r="K9" i="1"/>
  <c r="K10" i="1"/>
  <c r="K7" i="1"/>
  <c r="M4" i="1"/>
  <c r="N4" i="1"/>
  <c r="M5" i="1"/>
  <c r="N5" i="1"/>
  <c r="M6" i="1"/>
  <c r="N6" i="1"/>
  <c r="M7" i="1"/>
  <c r="N7" i="1"/>
  <c r="M8" i="1"/>
  <c r="N8" i="1"/>
  <c r="M9" i="1"/>
  <c r="N9" i="1"/>
  <c r="M10" i="1"/>
  <c r="N10" i="1"/>
  <c r="M11" i="1"/>
  <c r="N11" i="1"/>
  <c r="M12" i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N28" i="1"/>
  <c r="M29" i="1"/>
  <c r="N29" i="1"/>
  <c r="M30" i="1"/>
  <c r="N30" i="1"/>
  <c r="M31" i="1"/>
  <c r="N31" i="1"/>
  <c r="M32" i="1"/>
  <c r="N32" i="1"/>
  <c r="M33" i="1"/>
  <c r="N33" i="1"/>
  <c r="M34" i="1"/>
  <c r="N34" i="1"/>
  <c r="M35" i="1"/>
  <c r="N35" i="1"/>
  <c r="M36" i="1"/>
  <c r="N36" i="1"/>
  <c r="M37" i="1"/>
  <c r="N37" i="1"/>
  <c r="M38" i="1"/>
  <c r="N38" i="1"/>
  <c r="M39" i="1"/>
  <c r="N39" i="1"/>
  <c r="M40" i="1"/>
  <c r="N40" i="1"/>
  <c r="M41" i="1"/>
  <c r="N41" i="1"/>
  <c r="M42" i="1"/>
  <c r="N42" i="1"/>
  <c r="M43" i="1"/>
  <c r="N43" i="1"/>
  <c r="M44" i="1"/>
  <c r="N44" i="1"/>
  <c r="M45" i="1"/>
  <c r="N45" i="1"/>
  <c r="M46" i="1"/>
  <c r="N46" i="1"/>
  <c r="M47" i="1"/>
  <c r="N47" i="1"/>
  <c r="M48" i="1"/>
  <c r="N48" i="1"/>
  <c r="M49" i="1"/>
  <c r="N49" i="1"/>
  <c r="M50" i="1"/>
  <c r="N50" i="1"/>
  <c r="M51" i="1"/>
  <c r="N51" i="1"/>
  <c r="M52" i="1"/>
  <c r="N52" i="1"/>
  <c r="M53" i="1"/>
  <c r="N53" i="1"/>
  <c r="M54" i="1"/>
  <c r="N54" i="1"/>
  <c r="M55" i="1"/>
  <c r="N55" i="1"/>
  <c r="M56" i="1"/>
  <c r="N56" i="1"/>
  <c r="M57" i="1"/>
  <c r="N57" i="1"/>
  <c r="M58" i="1"/>
  <c r="N58" i="1"/>
  <c r="M59" i="1"/>
  <c r="N59" i="1"/>
  <c r="M60" i="1"/>
  <c r="N60" i="1"/>
  <c r="M61" i="1"/>
  <c r="N61" i="1"/>
  <c r="M62" i="1"/>
  <c r="N62" i="1"/>
  <c r="M63" i="1"/>
  <c r="N63" i="1"/>
  <c r="M64" i="1"/>
  <c r="N64" i="1"/>
  <c r="M65" i="1"/>
  <c r="N65" i="1"/>
  <c r="M66" i="1"/>
  <c r="N66" i="1"/>
  <c r="M67" i="1"/>
  <c r="N67" i="1"/>
  <c r="M68" i="1"/>
  <c r="N68" i="1"/>
  <c r="M69" i="1"/>
  <c r="N69" i="1"/>
  <c r="M70" i="1"/>
  <c r="N70" i="1"/>
  <c r="M71" i="1"/>
  <c r="N71" i="1"/>
  <c r="M72" i="1"/>
  <c r="N72" i="1"/>
  <c r="M73" i="1"/>
  <c r="N73" i="1"/>
  <c r="M74" i="1"/>
  <c r="N74" i="1"/>
  <c r="N3" i="1"/>
  <c r="M3" i="1"/>
  <c r="A1" i="1"/>
  <c r="O74" i="1" l="1"/>
  <c r="O3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</calcChain>
</file>

<file path=xl/sharedStrings.xml><?xml version="1.0" encoding="utf-8"?>
<sst xmlns="http://schemas.openxmlformats.org/spreadsheetml/2006/main" count="272" uniqueCount="104">
  <si>
    <t>CONNECTING CABLE ALLOCATIONS</t>
  </si>
  <si>
    <t>Fiber # / Splitter #</t>
  </si>
  <si>
    <t>4-way Splitter #</t>
  </si>
  <si>
    <t>Splitter Port #</t>
  </si>
  <si>
    <t>To Cable Leg</t>
  </si>
  <si>
    <t>Tube</t>
  </si>
  <si>
    <t>Fibre in Tube</t>
  </si>
  <si>
    <t>Fibre in Cable</t>
  </si>
  <si>
    <t>To FAT #</t>
  </si>
  <si>
    <t>LIVE</t>
  </si>
  <si>
    <t>A</t>
  </si>
  <si>
    <t>HUL104A/D01a</t>
  </si>
  <si>
    <t>HUL104A/D01a/U001-01</t>
  </si>
  <si>
    <t>YES</t>
  </si>
  <si>
    <t>HUL104A/D01a/U002-01</t>
  </si>
  <si>
    <t>SPARE</t>
  </si>
  <si>
    <t>HUL104A/D01a/U004-01</t>
  </si>
  <si>
    <t>B</t>
  </si>
  <si>
    <t>HUL104A/D01a/U005-01</t>
  </si>
  <si>
    <t>HUL104A/D01a/U006-01</t>
  </si>
  <si>
    <t>HUL104A/D01a/U007-01</t>
  </si>
  <si>
    <t>HUL104A/D01a/U008-01</t>
  </si>
  <si>
    <t>C</t>
  </si>
  <si>
    <t>HUL104A/D01a/U009-01</t>
  </si>
  <si>
    <t>HUL104A/D01a/U010-01</t>
  </si>
  <si>
    <t>HUL104A/D01a/U011-01</t>
  </si>
  <si>
    <t>HUL104A/D01a/U012-01</t>
  </si>
  <si>
    <t>D</t>
  </si>
  <si>
    <t>HUL104A/D01b</t>
  </si>
  <si>
    <t>HUL104A/D01b/U013-01</t>
  </si>
  <si>
    <t>HUL104A/D01b/U015-01</t>
  </si>
  <si>
    <t>HUL104A/D01b/U016-01</t>
  </si>
  <si>
    <t>E</t>
  </si>
  <si>
    <t>HUL104A/D01b/U017-01</t>
  </si>
  <si>
    <t>HUL104A/D01b/U018-01</t>
  </si>
  <si>
    <t>HUL104A/D01b/U019-01</t>
  </si>
  <si>
    <t>HUL104A/D01b/U020-01</t>
  </si>
  <si>
    <t>F</t>
  </si>
  <si>
    <t>HUL104A/D01b/U021-01</t>
  </si>
  <si>
    <t>HUL104A/D01c</t>
  </si>
  <si>
    <t>HUL104A/D01c/U022-01</t>
  </si>
  <si>
    <t>HUL104A/D01d</t>
  </si>
  <si>
    <t>HUL104A/D01d/U023-01</t>
  </si>
  <si>
    <t>HUL104A/D01b/U024-01</t>
  </si>
  <si>
    <t>G</t>
  </si>
  <si>
    <t>HUL104A/D01b/U025-01</t>
  </si>
  <si>
    <t>HUL104A/D01b/U026-01</t>
  </si>
  <si>
    <t>HUL104A/D01b/U027-01</t>
  </si>
  <si>
    <t>HUL104A/D01c/U022-02</t>
  </si>
  <si>
    <t>H</t>
  </si>
  <si>
    <t>HUL104A/D01c/U022-03</t>
  </si>
  <si>
    <t>HUL104A/D01a/U001-02</t>
  </si>
  <si>
    <t>NO</t>
  </si>
  <si>
    <t>HUL104A/D01a/U002-02</t>
  </si>
  <si>
    <t>I</t>
  </si>
  <si>
    <t>HUL104A/D01a/U004-02</t>
  </si>
  <si>
    <t>HUL104A/D01a/U005-02</t>
  </si>
  <si>
    <t>HUL104A/D01a/U007-02</t>
  </si>
  <si>
    <t>HUL104A/D01a/U008-02</t>
  </si>
  <si>
    <t>J</t>
  </si>
  <si>
    <t>HUL104A/D01a/U009-02</t>
  </si>
  <si>
    <t>HUL104A/D01a/U010-02</t>
  </si>
  <si>
    <t>HUL104A/D01a/U011-02</t>
  </si>
  <si>
    <t>HUL104A/D01a/U012-02</t>
  </si>
  <si>
    <t>K</t>
  </si>
  <si>
    <t>HUL104A/D01b/U013-02</t>
  </si>
  <si>
    <t>HUL104A/D01b/U015-02</t>
  </si>
  <si>
    <t>HUL104A/D01b/U017-02</t>
  </si>
  <si>
    <t>L</t>
  </si>
  <si>
    <t>HUL104A/D01b/U018-02</t>
  </si>
  <si>
    <t>HUL104A/D01b/U019-02</t>
  </si>
  <si>
    <t>HUL104A/D01b/U020-02</t>
  </si>
  <si>
    <t>HUL104A/D01b/U021-02</t>
  </si>
  <si>
    <t>M</t>
  </si>
  <si>
    <t>HUL104A/D01d/U023-02</t>
  </si>
  <si>
    <t>HUL104A/D01b/U024-02</t>
  </si>
  <si>
    <t>HUL104A/D01b/U025-02</t>
  </si>
  <si>
    <t>HUL104A/D01b/U026-02</t>
  </si>
  <si>
    <t>N</t>
  </si>
  <si>
    <t>HUL104A/D01b/U027-02</t>
  </si>
  <si>
    <t>HUL104A/D01a/U004-03</t>
  </si>
  <si>
    <t>HUL104A/D01a/U005-03</t>
  </si>
  <si>
    <t>HUL104A/D01a/U007-03</t>
  </si>
  <si>
    <t>O</t>
  </si>
  <si>
    <t>HUL104A/D01a/U009-03</t>
  </si>
  <si>
    <t>HUL104A/D01a/U010-03</t>
  </si>
  <si>
    <t>HUL104A/D01a/U011-03</t>
  </si>
  <si>
    <t>HUL104A/D01a/U012-03</t>
  </si>
  <si>
    <t>P</t>
  </si>
  <si>
    <t>HUL104A/D01b/U013-03</t>
  </si>
  <si>
    <t>HUL104A/D01b/U015-03</t>
  </si>
  <si>
    <t>HUL104A/D01b/U017-03</t>
  </si>
  <si>
    <t>Q</t>
  </si>
  <si>
    <t>HUL104A/D01b/U018-03</t>
  </si>
  <si>
    <t>HUL104A/D01b/U020-03</t>
  </si>
  <si>
    <t>HUL104A/D01b/U021-03</t>
  </si>
  <si>
    <t>HUL104A/D01d/U023-03</t>
  </si>
  <si>
    <t>R</t>
  </si>
  <si>
    <t>HUL104A/D01b/U024-03</t>
  </si>
  <si>
    <t>HUL104A/D01b/U025-03</t>
  </si>
  <si>
    <t>S</t>
  </si>
  <si>
    <t>T</t>
  </si>
  <si>
    <t>U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</si>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</sst>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14"/>
      <name val="Calibri"/>
      <family val="2"/>
    </font>
    <font>
      <b/>
      <sz val="12"/>
      <name val="Arial"/>
      <family val="2"/>
    </font>
    <font>
      <b/>
      <sz val="12"/>
      <name val="Calibri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sz val="11"/>
      <name val="Calibri"/>
      <family val="2"/>
    </font>
    <font>
      <sz val="14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/>
  </cellStyleXfs>
  <cellXfs count="32">
    <xf numFmtId="0" fontId="0" fillId="0" borderId="0" xfId="0"/>
    <xf numFmtId="0" fontId="2" fillId="0" borderId="0" xfId="2" applyAlignment="1">
      <alignment horizontal="center"/>
    </xf>
    <xf numFmtId="0" fontId="5" fillId="0" borderId="3" xfId="2" applyFont="1" applyBorder="1" applyAlignment="1">
      <alignment horizontal="center" vertical="center" wrapText="1"/>
    </xf>
    <xf numFmtId="0" fontId="5" fillId="0" borderId="4" xfId="2" applyFont="1" applyBorder="1" applyAlignment="1">
      <alignment horizontal="center" vertical="center" wrapText="1"/>
    </xf>
    <xf numFmtId="0" fontId="2" fillId="0" borderId="0" xfId="2" applyAlignment="1">
      <alignment horizontal="center" wrapText="1"/>
    </xf>
    <xf numFmtId="0" fontId="5" fillId="0" borderId="5" xfId="2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5" fillId="0" borderId="6" xfId="2" applyFont="1" applyBorder="1" applyAlignment="1">
      <alignment horizontal="center" vertical="center"/>
    </xf>
    <xf numFmtId="0" fontId="9" fillId="0" borderId="5" xfId="0" quotePrefix="1" applyFont="1" applyBorder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wrapText="1"/>
    </xf>
    <xf numFmtId="0" fontId="11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5" xfId="0" applyFont="1" applyBorder="1" applyAlignment="1">
      <alignment horizontal="center"/>
    </xf>
    <xf numFmtId="0" fontId="9" fillId="3" borderId="5" xfId="1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9" fillId="4" borderId="5" xfId="1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3" fillId="0" borderId="0" xfId="2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7" fillId="0" borderId="8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8" fillId="0" borderId="8" xfId="2" applyFont="1" applyBorder="1" applyAlignment="1">
      <alignment horizontal="center" vertical="center"/>
    </xf>
  </cellXfs>
  <cellStyles count="3">
    <cellStyle name="Bad" xfId="1" builtinId="27"/>
    <cellStyle name="Normal" xfId="0" builtinId="0"/>
    <cellStyle name="Normal 2" xfId="2" xr:uid="{00000000-0005-0000-0000-000002000000}"/>
  </cellStyles>
  <dxfs count="25">
    <dxf>
      <font>
        <color rgb="FF000000"/>
      </font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92CDDC"/>
        </patternFill>
      </fill>
    </dxf>
    <dxf>
      <fill>
        <patternFill>
          <bgColor rgb="FFFD71F3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0D0D0D"/>
        </patternFill>
      </fill>
    </dxf>
    <dxf>
      <fill>
        <patternFill>
          <bgColor rgb="FFFF0000"/>
        </patternFill>
      </fill>
    </dxf>
    <dxf>
      <fill>
        <patternFill>
          <bgColor rgb="FFA6A6A6"/>
        </patternFill>
      </fill>
    </dxf>
    <dxf>
      <fill>
        <patternFill>
          <bgColor rgb="FFBD5907"/>
        </patternFill>
      </fill>
    </dxf>
    <dxf>
      <fill>
        <patternFill>
          <bgColor rgb="FF00B050"/>
        </patternFill>
      </fill>
    </dxf>
    <dxf>
      <fill>
        <patternFill>
          <bgColor rgb="FFF79646"/>
        </patternFill>
      </fill>
    </dxf>
    <dxf>
      <fill>
        <patternFill>
          <bgColor rgb="FFF79646"/>
        </patternFill>
      </fill>
    </dxf>
    <dxf>
      <fill>
        <patternFill>
          <bgColor rgb="FF00B050"/>
        </patternFill>
      </fill>
    </dxf>
    <dxf>
      <fill>
        <patternFill>
          <bgColor rgb="FFBD5907"/>
        </patternFill>
      </fill>
    </dxf>
    <dxf>
      <fill>
        <patternFill>
          <bgColor rgb="FFA6A6A6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bgColor rgb="FF0D0D0D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D71F3"/>
        </patternFill>
      </fill>
    </dxf>
    <dxf>
      <fill>
        <patternFill>
          <bgColor rgb="FF92CDDC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F382D-15DE-4260-B83E-6969F054A9BF}">
  <dimension ref="A1:P171"/>
  <sheetViews>
    <sheetView tabSelected="1" workbookViewId="0">
      <selection activeCell="Q8" sqref="Q8"/>
    </sheetView>
  </sheetViews>
  <sheetFormatPr defaultColWidth="9" defaultRowHeight="14.4" x14ac:dyDescent="0.3"/>
  <cols>
    <col min="1" max="3" width="9" style="15"/>
    <col min="4" max="4" width="1.44140625" style="15" customWidth="1"/>
    <col min="5" max="5" width="17.33203125" style="15" customWidth="1"/>
    <col min="6" max="6" width="9" style="15"/>
    <col min="7" max="7" width="11.44140625" style="15" bestFit="1" customWidth="1"/>
    <col min="8" max="8" width="13.6640625" style="15" customWidth="1"/>
    <col min="9" max="9" width="30" style="15" bestFit="1" customWidth="1"/>
    <col min="10" max="15" width="9" style="12"/>
    <col min="16" max="16" width="10.6640625" style="12" customWidth="1"/>
    <col min="17" max="16384" width="9" style="12"/>
  </cols>
  <sheetData>
    <row r="1" spans="1:16" ht="21" x14ac:dyDescent="0.3">
      <c r="A1" s="22" t="str">
        <f>LEFT(I3,11)</f>
        <v>HUL104A/D01</v>
      </c>
      <c r="B1" s="23"/>
      <c r="C1" s="23"/>
      <c r="D1" s="1"/>
      <c r="E1" s="24" t="s">
        <v>0</v>
      </c>
      <c r="F1" s="24"/>
      <c r="G1" s="24"/>
      <c r="H1" s="24"/>
      <c r="I1" s="25"/>
    </row>
    <row r="2" spans="1:16" s="13" customFormat="1" ht="47.25" customHeight="1" x14ac:dyDescent="0.3">
      <c r="A2" s="2" t="s">
        <v>1</v>
      </c>
      <c r="B2" s="3" t="s">
        <v>2</v>
      </c>
      <c r="C2" s="3" t="s">
        <v>3</v>
      </c>
      <c r="D2" s="4"/>
      <c r="E2" s="5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21"/>
    </row>
    <row r="3" spans="1:16" ht="13.5" customHeight="1" x14ac:dyDescent="0.3">
      <c r="A3" s="26">
        <v>1</v>
      </c>
      <c r="B3" s="29" t="s">
        <v>10</v>
      </c>
      <c r="C3" s="7">
        <v>1</v>
      </c>
      <c r="D3" s="1"/>
      <c r="E3" s="14" t="s">
        <v>11</v>
      </c>
      <c r="F3" s="8">
        <v>1</v>
      </c>
      <c r="G3" s="9">
        <v>1</v>
      </c>
      <c r="H3" s="9">
        <v>1</v>
      </c>
      <c r="I3" s="17" t="s">
        <v>12</v>
      </c>
      <c r="J3" s="18" t="s">
        <v>13</v>
      </c>
      <c r="K3" s="15">
        <v>1</v>
      </c>
      <c r="L3" s="12" t="str">
        <f>_xlfn.CONCAT(TEXT(K3,"00"),"/0",C3)</f>
        <v>01/01</v>
      </c>
      <c r="M3" s="12" t="str">
        <f>_xlfn.CONCAT(RIGHT(E3,1),H3)</f>
        <v>a1</v>
      </c>
      <c r="N3" s="12" t="b">
        <f>(F3-1)*12+G3=H3</f>
        <v>1</v>
      </c>
      <c r="O3" s="12">
        <f>COUNTIF(M:M,M3)</f>
        <v>1</v>
      </c>
      <c r="P3" s="12" t="str">
        <f>IF(J3="YES","connected","planned")</f>
        <v>connected</v>
      </c>
    </row>
    <row r="4" spans="1:16" ht="13.5" customHeight="1" x14ac:dyDescent="0.3">
      <c r="A4" s="27"/>
      <c r="B4" s="30"/>
      <c r="C4" s="7">
        <v>2</v>
      </c>
      <c r="D4" s="1"/>
      <c r="E4" s="14" t="s">
        <v>11</v>
      </c>
      <c r="F4" s="8">
        <v>1</v>
      </c>
      <c r="G4" s="9">
        <v>4</v>
      </c>
      <c r="H4" s="9">
        <v>4</v>
      </c>
      <c r="I4" s="17" t="s">
        <v>14</v>
      </c>
      <c r="J4" s="18" t="s">
        <v>13</v>
      </c>
      <c r="K4" s="15">
        <v>1</v>
      </c>
      <c r="L4" s="12" t="str">
        <f t="shared" ref="L4:L67" si="0">_xlfn.CONCAT(TEXT(K4,"00"),"/0",C4)</f>
        <v>01/02</v>
      </c>
      <c r="M4" s="12" t="str">
        <f t="shared" ref="M4:M67" si="1">_xlfn.CONCAT(RIGHT(E4,1),H4)</f>
        <v>a4</v>
      </c>
      <c r="N4" s="12" t="b">
        <f t="shared" ref="N4:N67" si="2">(F4-1)*12+G4=H4</f>
        <v>1</v>
      </c>
      <c r="O4" s="12">
        <f t="shared" ref="O4:O67" si="3">COUNTIF(M:M,M4)</f>
        <v>1</v>
      </c>
      <c r="P4" s="12" t="str">
        <f t="shared" ref="P4:P67" si="4">IF(J4="YES","connected","planned")</f>
        <v>connected</v>
      </c>
    </row>
    <row r="5" spans="1:16" ht="13.5" customHeight="1" x14ac:dyDescent="0.3">
      <c r="A5" s="27"/>
      <c r="B5" s="30"/>
      <c r="C5" s="7">
        <v>3</v>
      </c>
      <c r="D5" s="1"/>
      <c r="E5" s="14" t="s">
        <v>11</v>
      </c>
      <c r="F5" s="8">
        <v>1</v>
      </c>
      <c r="G5" s="9">
        <v>7</v>
      </c>
      <c r="H5" s="9">
        <v>7</v>
      </c>
      <c r="I5" s="17" t="s">
        <v>15</v>
      </c>
      <c r="J5" s="18" t="s">
        <v>13</v>
      </c>
      <c r="K5" s="15">
        <v>1</v>
      </c>
      <c r="L5" s="12" t="str">
        <f t="shared" si="0"/>
        <v>01/03</v>
      </c>
      <c r="M5" s="12" t="str">
        <f t="shared" si="1"/>
        <v>a7</v>
      </c>
      <c r="N5" s="12" t="b">
        <f t="shared" si="2"/>
        <v>1</v>
      </c>
      <c r="O5" s="12">
        <f t="shared" si="3"/>
        <v>1</v>
      </c>
      <c r="P5" s="12" t="str">
        <f t="shared" si="4"/>
        <v>connected</v>
      </c>
    </row>
    <row r="6" spans="1:16" ht="13.5" customHeight="1" x14ac:dyDescent="0.3">
      <c r="A6" s="28"/>
      <c r="B6" s="31"/>
      <c r="C6" s="7">
        <v>4</v>
      </c>
      <c r="D6" s="1"/>
      <c r="E6" s="14" t="s">
        <v>11</v>
      </c>
      <c r="F6" s="8">
        <v>1</v>
      </c>
      <c r="G6" s="9">
        <v>10</v>
      </c>
      <c r="H6" s="9">
        <v>10</v>
      </c>
      <c r="I6" s="17" t="s">
        <v>16</v>
      </c>
      <c r="J6" s="18" t="s">
        <v>13</v>
      </c>
      <c r="K6" s="15">
        <v>1</v>
      </c>
      <c r="L6" s="12" t="str">
        <f t="shared" si="0"/>
        <v>01/04</v>
      </c>
      <c r="M6" s="12" t="str">
        <f t="shared" si="1"/>
        <v>a10</v>
      </c>
      <c r="N6" s="12" t="b">
        <f t="shared" si="2"/>
        <v>1</v>
      </c>
      <c r="O6" s="12">
        <f t="shared" si="3"/>
        <v>1</v>
      </c>
      <c r="P6" s="12" t="str">
        <f t="shared" si="4"/>
        <v>connected</v>
      </c>
    </row>
    <row r="7" spans="1:16" ht="13.5" customHeight="1" x14ac:dyDescent="0.3">
      <c r="A7" s="26">
        <v>2</v>
      </c>
      <c r="B7" s="29" t="s">
        <v>17</v>
      </c>
      <c r="C7" s="7">
        <v>1</v>
      </c>
      <c r="D7" s="1"/>
      <c r="E7" s="14" t="s">
        <v>11</v>
      </c>
      <c r="F7" s="8">
        <v>2</v>
      </c>
      <c r="G7" s="9">
        <v>1</v>
      </c>
      <c r="H7" s="9">
        <v>13</v>
      </c>
      <c r="I7" s="17" t="s">
        <v>18</v>
      </c>
      <c r="J7" s="18" t="s">
        <v>13</v>
      </c>
      <c r="K7" s="15">
        <f>K3+1</f>
        <v>2</v>
      </c>
      <c r="L7" s="12" t="str">
        <f t="shared" si="0"/>
        <v>02/01</v>
      </c>
      <c r="M7" s="12" t="str">
        <f t="shared" si="1"/>
        <v>a13</v>
      </c>
      <c r="N7" s="12" t="b">
        <f t="shared" si="2"/>
        <v>1</v>
      </c>
      <c r="O7" s="12">
        <f t="shared" si="3"/>
        <v>1</v>
      </c>
      <c r="P7" s="12" t="str">
        <f t="shared" si="4"/>
        <v>connected</v>
      </c>
    </row>
    <row r="8" spans="1:16" ht="13.5" customHeight="1" x14ac:dyDescent="0.3">
      <c r="A8" s="27"/>
      <c r="B8" s="30"/>
      <c r="C8" s="7">
        <v>2</v>
      </c>
      <c r="D8" s="1"/>
      <c r="E8" s="14" t="s">
        <v>11</v>
      </c>
      <c r="F8" s="8">
        <v>2</v>
      </c>
      <c r="G8" s="9">
        <v>4</v>
      </c>
      <c r="H8" s="9">
        <v>16</v>
      </c>
      <c r="I8" s="17" t="s">
        <v>19</v>
      </c>
      <c r="J8" s="18" t="s">
        <v>13</v>
      </c>
      <c r="K8" s="15">
        <f t="shared" ref="K8:K71" si="5">K4+1</f>
        <v>2</v>
      </c>
      <c r="L8" s="12" t="str">
        <f t="shared" si="0"/>
        <v>02/02</v>
      </c>
      <c r="M8" s="12" t="str">
        <f t="shared" si="1"/>
        <v>a16</v>
      </c>
      <c r="N8" s="12" t="b">
        <f t="shared" si="2"/>
        <v>1</v>
      </c>
      <c r="O8" s="12">
        <f t="shared" si="3"/>
        <v>1</v>
      </c>
      <c r="P8" s="12" t="str">
        <f t="shared" si="4"/>
        <v>connected</v>
      </c>
    </row>
    <row r="9" spans="1:16" ht="13.5" customHeight="1" x14ac:dyDescent="0.3">
      <c r="A9" s="27"/>
      <c r="B9" s="30"/>
      <c r="C9" s="7">
        <v>3</v>
      </c>
      <c r="D9" s="1"/>
      <c r="E9" s="14" t="s">
        <v>11</v>
      </c>
      <c r="F9" s="8">
        <v>2</v>
      </c>
      <c r="G9" s="9">
        <v>7</v>
      </c>
      <c r="H9" s="9">
        <v>19</v>
      </c>
      <c r="I9" s="17" t="s">
        <v>20</v>
      </c>
      <c r="J9" s="18" t="s">
        <v>13</v>
      </c>
      <c r="K9" s="15">
        <f t="shared" si="5"/>
        <v>2</v>
      </c>
      <c r="L9" s="12" t="str">
        <f t="shared" si="0"/>
        <v>02/03</v>
      </c>
      <c r="M9" s="12" t="str">
        <f t="shared" si="1"/>
        <v>a19</v>
      </c>
      <c r="N9" s="12" t="b">
        <f t="shared" si="2"/>
        <v>1</v>
      </c>
      <c r="O9" s="12">
        <f t="shared" si="3"/>
        <v>1</v>
      </c>
      <c r="P9" s="12" t="str">
        <f t="shared" si="4"/>
        <v>connected</v>
      </c>
    </row>
    <row r="10" spans="1:16" ht="13.5" customHeight="1" x14ac:dyDescent="0.3">
      <c r="A10" s="28"/>
      <c r="B10" s="31"/>
      <c r="C10" s="7">
        <v>4</v>
      </c>
      <c r="D10" s="1"/>
      <c r="E10" s="14" t="s">
        <v>11</v>
      </c>
      <c r="F10" s="8">
        <v>2</v>
      </c>
      <c r="G10" s="9">
        <v>10</v>
      </c>
      <c r="H10" s="9">
        <v>22</v>
      </c>
      <c r="I10" s="17" t="s">
        <v>21</v>
      </c>
      <c r="J10" s="18" t="s">
        <v>13</v>
      </c>
      <c r="K10" s="15">
        <f t="shared" si="5"/>
        <v>2</v>
      </c>
      <c r="L10" s="12" t="str">
        <f t="shared" si="0"/>
        <v>02/04</v>
      </c>
      <c r="M10" s="12" t="str">
        <f t="shared" si="1"/>
        <v>a22</v>
      </c>
      <c r="N10" s="12" t="b">
        <f t="shared" si="2"/>
        <v>1</v>
      </c>
      <c r="O10" s="12">
        <f t="shared" si="3"/>
        <v>1</v>
      </c>
      <c r="P10" s="12" t="str">
        <f t="shared" si="4"/>
        <v>connected</v>
      </c>
    </row>
    <row r="11" spans="1:16" ht="13.5" customHeight="1" x14ac:dyDescent="0.3">
      <c r="A11" s="26">
        <v>3</v>
      </c>
      <c r="B11" s="29" t="s">
        <v>22</v>
      </c>
      <c r="C11" s="7">
        <v>1</v>
      </c>
      <c r="D11" s="1"/>
      <c r="E11" s="14" t="s">
        <v>11</v>
      </c>
      <c r="F11" s="8">
        <v>3</v>
      </c>
      <c r="G11" s="9">
        <v>1</v>
      </c>
      <c r="H11" s="9">
        <v>25</v>
      </c>
      <c r="I11" s="17" t="s">
        <v>23</v>
      </c>
      <c r="J11" s="18" t="s">
        <v>13</v>
      </c>
      <c r="K11" s="15">
        <f t="shared" si="5"/>
        <v>3</v>
      </c>
      <c r="L11" s="12" t="str">
        <f t="shared" si="0"/>
        <v>03/01</v>
      </c>
      <c r="M11" s="12" t="str">
        <f t="shared" si="1"/>
        <v>a25</v>
      </c>
      <c r="N11" s="12" t="b">
        <f t="shared" si="2"/>
        <v>1</v>
      </c>
      <c r="O11" s="12">
        <f t="shared" si="3"/>
        <v>1</v>
      </c>
      <c r="P11" s="12" t="str">
        <f t="shared" si="4"/>
        <v>connected</v>
      </c>
    </row>
    <row r="12" spans="1:16" ht="13.5" customHeight="1" x14ac:dyDescent="0.3">
      <c r="A12" s="27"/>
      <c r="B12" s="30"/>
      <c r="C12" s="7">
        <v>2</v>
      </c>
      <c r="D12" s="1"/>
      <c r="E12" s="14" t="s">
        <v>11</v>
      </c>
      <c r="F12" s="8">
        <v>3</v>
      </c>
      <c r="G12" s="9">
        <v>4</v>
      </c>
      <c r="H12" s="9">
        <v>28</v>
      </c>
      <c r="I12" s="17" t="s">
        <v>24</v>
      </c>
      <c r="J12" s="18" t="s">
        <v>13</v>
      </c>
      <c r="K12" s="15">
        <f t="shared" si="5"/>
        <v>3</v>
      </c>
      <c r="L12" s="12" t="str">
        <f t="shared" si="0"/>
        <v>03/02</v>
      </c>
      <c r="M12" s="12" t="str">
        <f t="shared" si="1"/>
        <v>a28</v>
      </c>
      <c r="N12" s="12" t="b">
        <f t="shared" si="2"/>
        <v>1</v>
      </c>
      <c r="O12" s="12">
        <f t="shared" si="3"/>
        <v>1</v>
      </c>
      <c r="P12" s="12" t="str">
        <f t="shared" si="4"/>
        <v>connected</v>
      </c>
    </row>
    <row r="13" spans="1:16" ht="13.5" customHeight="1" x14ac:dyDescent="0.3">
      <c r="A13" s="27"/>
      <c r="B13" s="30"/>
      <c r="C13" s="7">
        <v>3</v>
      </c>
      <c r="D13" s="1"/>
      <c r="E13" s="14" t="s">
        <v>11</v>
      </c>
      <c r="F13" s="8">
        <v>3</v>
      </c>
      <c r="G13" s="9">
        <v>7</v>
      </c>
      <c r="H13" s="9">
        <v>31</v>
      </c>
      <c r="I13" s="17" t="s">
        <v>25</v>
      </c>
      <c r="J13" s="18" t="s">
        <v>13</v>
      </c>
      <c r="K13" s="15">
        <f t="shared" si="5"/>
        <v>3</v>
      </c>
      <c r="L13" s="12" t="str">
        <f t="shared" si="0"/>
        <v>03/03</v>
      </c>
      <c r="M13" s="12" t="str">
        <f t="shared" si="1"/>
        <v>a31</v>
      </c>
      <c r="N13" s="12" t="b">
        <f t="shared" si="2"/>
        <v>1</v>
      </c>
      <c r="O13" s="12">
        <f t="shared" si="3"/>
        <v>1</v>
      </c>
      <c r="P13" s="12" t="str">
        <f t="shared" si="4"/>
        <v>connected</v>
      </c>
    </row>
    <row r="14" spans="1:16" ht="13.5" customHeight="1" x14ac:dyDescent="0.3">
      <c r="A14" s="28"/>
      <c r="B14" s="31"/>
      <c r="C14" s="7">
        <v>4</v>
      </c>
      <c r="D14" s="1"/>
      <c r="E14" s="14" t="s">
        <v>11</v>
      </c>
      <c r="F14" s="8">
        <v>3</v>
      </c>
      <c r="G14" s="9">
        <v>10</v>
      </c>
      <c r="H14" s="9">
        <v>34</v>
      </c>
      <c r="I14" s="17" t="s">
        <v>26</v>
      </c>
      <c r="J14" s="18" t="s">
        <v>13</v>
      </c>
      <c r="K14" s="15">
        <f t="shared" si="5"/>
        <v>3</v>
      </c>
      <c r="L14" s="12" t="str">
        <f t="shared" si="0"/>
        <v>03/04</v>
      </c>
      <c r="M14" s="12" t="str">
        <f t="shared" si="1"/>
        <v>a34</v>
      </c>
      <c r="N14" s="12" t="b">
        <f t="shared" si="2"/>
        <v>1</v>
      </c>
      <c r="O14" s="12">
        <f t="shared" si="3"/>
        <v>1</v>
      </c>
      <c r="P14" s="12" t="str">
        <f t="shared" si="4"/>
        <v>connected</v>
      </c>
    </row>
    <row r="15" spans="1:16" ht="13.5" customHeight="1" x14ac:dyDescent="0.3">
      <c r="A15" s="26">
        <v>4</v>
      </c>
      <c r="B15" s="29" t="s">
        <v>27</v>
      </c>
      <c r="C15" s="7">
        <v>1</v>
      </c>
      <c r="D15" s="1"/>
      <c r="E15" s="14" t="s">
        <v>28</v>
      </c>
      <c r="F15" s="8">
        <v>1</v>
      </c>
      <c r="G15" s="9">
        <v>1</v>
      </c>
      <c r="H15" s="9">
        <v>1</v>
      </c>
      <c r="I15" s="17" t="s">
        <v>29</v>
      </c>
      <c r="J15" s="18" t="s">
        <v>13</v>
      </c>
      <c r="K15" s="15">
        <f t="shared" si="5"/>
        <v>4</v>
      </c>
      <c r="L15" s="12" t="str">
        <f t="shared" si="0"/>
        <v>04/01</v>
      </c>
      <c r="M15" s="12" t="str">
        <f t="shared" si="1"/>
        <v>b1</v>
      </c>
      <c r="N15" s="12" t="b">
        <f t="shared" si="2"/>
        <v>1</v>
      </c>
      <c r="O15" s="12">
        <f t="shared" si="3"/>
        <v>1</v>
      </c>
      <c r="P15" s="12" t="str">
        <f t="shared" si="4"/>
        <v>connected</v>
      </c>
    </row>
    <row r="16" spans="1:16" ht="13.5" customHeight="1" x14ac:dyDescent="0.3">
      <c r="A16" s="27"/>
      <c r="B16" s="30"/>
      <c r="C16" s="7">
        <v>2</v>
      </c>
      <c r="D16" s="1"/>
      <c r="E16" s="14" t="s">
        <v>28</v>
      </c>
      <c r="F16" s="8">
        <v>1</v>
      </c>
      <c r="G16" s="9">
        <v>4</v>
      </c>
      <c r="H16" s="9">
        <v>4</v>
      </c>
      <c r="I16" s="17" t="s">
        <v>15</v>
      </c>
      <c r="J16" s="18" t="s">
        <v>13</v>
      </c>
      <c r="K16" s="15">
        <f t="shared" si="5"/>
        <v>4</v>
      </c>
      <c r="L16" s="12" t="str">
        <f t="shared" si="0"/>
        <v>04/02</v>
      </c>
      <c r="M16" s="12" t="str">
        <f t="shared" si="1"/>
        <v>b4</v>
      </c>
      <c r="N16" s="12" t="b">
        <f t="shared" si="2"/>
        <v>1</v>
      </c>
      <c r="O16" s="12">
        <f t="shared" si="3"/>
        <v>1</v>
      </c>
      <c r="P16" s="12" t="str">
        <f t="shared" si="4"/>
        <v>connected</v>
      </c>
    </row>
    <row r="17" spans="1:16" ht="13.5" customHeight="1" x14ac:dyDescent="0.3">
      <c r="A17" s="27"/>
      <c r="B17" s="30"/>
      <c r="C17" s="7">
        <v>3</v>
      </c>
      <c r="D17" s="1"/>
      <c r="E17" s="14" t="s">
        <v>28</v>
      </c>
      <c r="F17" s="8">
        <v>1</v>
      </c>
      <c r="G17" s="9">
        <v>10</v>
      </c>
      <c r="H17" s="9">
        <v>10</v>
      </c>
      <c r="I17" s="17" t="s">
        <v>30</v>
      </c>
      <c r="J17" s="18" t="s">
        <v>13</v>
      </c>
      <c r="K17" s="15">
        <f t="shared" si="5"/>
        <v>4</v>
      </c>
      <c r="L17" s="12" t="str">
        <f t="shared" si="0"/>
        <v>04/03</v>
      </c>
      <c r="M17" s="12" t="str">
        <f t="shared" si="1"/>
        <v>b10</v>
      </c>
      <c r="N17" s="12" t="b">
        <f t="shared" si="2"/>
        <v>1</v>
      </c>
      <c r="O17" s="12">
        <f t="shared" si="3"/>
        <v>1</v>
      </c>
      <c r="P17" s="12" t="str">
        <f t="shared" si="4"/>
        <v>connected</v>
      </c>
    </row>
    <row r="18" spans="1:16" ht="13.5" customHeight="1" x14ac:dyDescent="0.3">
      <c r="A18" s="28"/>
      <c r="B18" s="31"/>
      <c r="C18" s="7">
        <v>4</v>
      </c>
      <c r="D18" s="1"/>
      <c r="E18" s="14" t="s">
        <v>28</v>
      </c>
      <c r="F18" s="8">
        <v>2</v>
      </c>
      <c r="G18" s="9">
        <v>1</v>
      </c>
      <c r="H18" s="9">
        <v>13</v>
      </c>
      <c r="I18" s="17" t="s">
        <v>31</v>
      </c>
      <c r="J18" s="18" t="s">
        <v>13</v>
      </c>
      <c r="K18" s="15">
        <f t="shared" si="5"/>
        <v>4</v>
      </c>
      <c r="L18" s="12" t="str">
        <f t="shared" si="0"/>
        <v>04/04</v>
      </c>
      <c r="M18" s="12" t="str">
        <f t="shared" si="1"/>
        <v>b13</v>
      </c>
      <c r="N18" s="12" t="b">
        <f t="shared" si="2"/>
        <v>1</v>
      </c>
      <c r="O18" s="12">
        <f t="shared" si="3"/>
        <v>1</v>
      </c>
      <c r="P18" s="12" t="str">
        <f t="shared" si="4"/>
        <v>connected</v>
      </c>
    </row>
    <row r="19" spans="1:16" ht="13.5" customHeight="1" x14ac:dyDescent="0.3">
      <c r="A19" s="26">
        <v>5</v>
      </c>
      <c r="B19" s="29" t="s">
        <v>32</v>
      </c>
      <c r="C19" s="7">
        <v>1</v>
      </c>
      <c r="D19" s="1"/>
      <c r="E19" s="14" t="s">
        <v>28</v>
      </c>
      <c r="F19" s="8">
        <v>2</v>
      </c>
      <c r="G19" s="9">
        <v>4</v>
      </c>
      <c r="H19" s="9">
        <v>16</v>
      </c>
      <c r="I19" s="17" t="s">
        <v>33</v>
      </c>
      <c r="J19" s="18" t="s">
        <v>13</v>
      </c>
      <c r="K19" s="15">
        <f t="shared" si="5"/>
        <v>5</v>
      </c>
      <c r="L19" s="12" t="str">
        <f t="shared" si="0"/>
        <v>05/01</v>
      </c>
      <c r="M19" s="12" t="str">
        <f t="shared" si="1"/>
        <v>b16</v>
      </c>
      <c r="N19" s="12" t="b">
        <f t="shared" si="2"/>
        <v>1</v>
      </c>
      <c r="O19" s="12">
        <f t="shared" si="3"/>
        <v>1</v>
      </c>
      <c r="P19" s="12" t="str">
        <f t="shared" si="4"/>
        <v>connected</v>
      </c>
    </row>
    <row r="20" spans="1:16" ht="13.5" customHeight="1" x14ac:dyDescent="0.3">
      <c r="A20" s="27"/>
      <c r="B20" s="30"/>
      <c r="C20" s="7">
        <v>2</v>
      </c>
      <c r="D20" s="1"/>
      <c r="E20" s="14" t="s">
        <v>28</v>
      </c>
      <c r="F20" s="8">
        <v>2</v>
      </c>
      <c r="G20" s="9">
        <v>7</v>
      </c>
      <c r="H20" s="9">
        <v>19</v>
      </c>
      <c r="I20" s="17" t="s">
        <v>34</v>
      </c>
      <c r="J20" s="18" t="s">
        <v>13</v>
      </c>
      <c r="K20" s="15">
        <f t="shared" si="5"/>
        <v>5</v>
      </c>
      <c r="L20" s="12" t="str">
        <f t="shared" si="0"/>
        <v>05/02</v>
      </c>
      <c r="M20" s="12" t="str">
        <f t="shared" si="1"/>
        <v>b19</v>
      </c>
      <c r="N20" s="12" t="b">
        <f t="shared" si="2"/>
        <v>1</v>
      </c>
      <c r="O20" s="12">
        <f t="shared" si="3"/>
        <v>1</v>
      </c>
      <c r="P20" s="12" t="str">
        <f t="shared" si="4"/>
        <v>connected</v>
      </c>
    </row>
    <row r="21" spans="1:16" ht="13.5" customHeight="1" x14ac:dyDescent="0.3">
      <c r="A21" s="27"/>
      <c r="B21" s="30"/>
      <c r="C21" s="7">
        <v>3</v>
      </c>
      <c r="D21" s="1"/>
      <c r="E21" s="14" t="s">
        <v>28</v>
      </c>
      <c r="F21" s="8">
        <v>2</v>
      </c>
      <c r="G21" s="9">
        <v>10</v>
      </c>
      <c r="H21" s="9">
        <v>22</v>
      </c>
      <c r="I21" s="17" t="s">
        <v>35</v>
      </c>
      <c r="J21" s="18" t="s">
        <v>13</v>
      </c>
      <c r="K21" s="15">
        <f t="shared" si="5"/>
        <v>5</v>
      </c>
      <c r="L21" s="12" t="str">
        <f t="shared" si="0"/>
        <v>05/03</v>
      </c>
      <c r="M21" s="12" t="str">
        <f t="shared" si="1"/>
        <v>b22</v>
      </c>
      <c r="N21" s="12" t="b">
        <f t="shared" si="2"/>
        <v>1</v>
      </c>
      <c r="O21" s="12">
        <f t="shared" si="3"/>
        <v>1</v>
      </c>
      <c r="P21" s="12" t="str">
        <f t="shared" si="4"/>
        <v>connected</v>
      </c>
    </row>
    <row r="22" spans="1:16" ht="13.5" customHeight="1" x14ac:dyDescent="0.3">
      <c r="A22" s="28"/>
      <c r="B22" s="31"/>
      <c r="C22" s="7">
        <v>4</v>
      </c>
      <c r="D22" s="1"/>
      <c r="E22" s="14" t="s">
        <v>28</v>
      </c>
      <c r="F22" s="8">
        <v>3</v>
      </c>
      <c r="G22" s="9">
        <v>1</v>
      </c>
      <c r="H22" s="9">
        <v>25</v>
      </c>
      <c r="I22" s="17" t="s">
        <v>36</v>
      </c>
      <c r="J22" s="18" t="s">
        <v>13</v>
      </c>
      <c r="K22" s="15">
        <f t="shared" si="5"/>
        <v>5</v>
      </c>
      <c r="L22" s="12" t="str">
        <f t="shared" si="0"/>
        <v>05/04</v>
      </c>
      <c r="M22" s="12" t="str">
        <f t="shared" si="1"/>
        <v>b25</v>
      </c>
      <c r="N22" s="12" t="b">
        <f t="shared" si="2"/>
        <v>1</v>
      </c>
      <c r="O22" s="12">
        <f t="shared" si="3"/>
        <v>1</v>
      </c>
      <c r="P22" s="12" t="str">
        <f t="shared" si="4"/>
        <v>connected</v>
      </c>
    </row>
    <row r="23" spans="1:16" ht="13.5" customHeight="1" x14ac:dyDescent="0.3">
      <c r="A23" s="26">
        <v>6</v>
      </c>
      <c r="B23" s="29" t="s">
        <v>37</v>
      </c>
      <c r="C23" s="7">
        <v>1</v>
      </c>
      <c r="D23" s="1"/>
      <c r="E23" s="14" t="s">
        <v>28</v>
      </c>
      <c r="F23" s="8">
        <v>3</v>
      </c>
      <c r="G23" s="9">
        <v>4</v>
      </c>
      <c r="H23" s="9">
        <v>28</v>
      </c>
      <c r="I23" s="17" t="s">
        <v>38</v>
      </c>
      <c r="J23" s="18" t="s">
        <v>13</v>
      </c>
      <c r="K23" s="15">
        <f t="shared" si="5"/>
        <v>6</v>
      </c>
      <c r="L23" s="12" t="str">
        <f t="shared" si="0"/>
        <v>06/01</v>
      </c>
      <c r="M23" s="12" t="str">
        <f t="shared" si="1"/>
        <v>b28</v>
      </c>
      <c r="N23" s="12" t="b">
        <f t="shared" si="2"/>
        <v>1</v>
      </c>
      <c r="O23" s="12">
        <f t="shared" si="3"/>
        <v>1</v>
      </c>
      <c r="P23" s="12" t="str">
        <f t="shared" si="4"/>
        <v>connected</v>
      </c>
    </row>
    <row r="24" spans="1:16" ht="13.5" customHeight="1" x14ac:dyDescent="0.3">
      <c r="A24" s="27"/>
      <c r="B24" s="30"/>
      <c r="C24" s="7">
        <v>2</v>
      </c>
      <c r="D24" s="1"/>
      <c r="E24" s="14" t="s">
        <v>39</v>
      </c>
      <c r="F24" s="8">
        <v>1</v>
      </c>
      <c r="G24" s="9">
        <v>1</v>
      </c>
      <c r="H24" s="9">
        <v>1</v>
      </c>
      <c r="I24" s="17" t="s">
        <v>40</v>
      </c>
      <c r="J24" s="18" t="s">
        <v>13</v>
      </c>
      <c r="K24" s="15">
        <f t="shared" si="5"/>
        <v>6</v>
      </c>
      <c r="L24" s="12" t="str">
        <f t="shared" si="0"/>
        <v>06/02</v>
      </c>
      <c r="M24" s="12" t="str">
        <f t="shared" si="1"/>
        <v>c1</v>
      </c>
      <c r="N24" s="12" t="b">
        <f t="shared" si="2"/>
        <v>1</v>
      </c>
      <c r="O24" s="12">
        <f t="shared" si="3"/>
        <v>1</v>
      </c>
      <c r="P24" s="12" t="str">
        <f t="shared" si="4"/>
        <v>connected</v>
      </c>
    </row>
    <row r="25" spans="1:16" ht="13.5" customHeight="1" x14ac:dyDescent="0.3">
      <c r="A25" s="27"/>
      <c r="B25" s="30"/>
      <c r="C25" s="7">
        <v>3</v>
      </c>
      <c r="D25" s="1"/>
      <c r="E25" s="14" t="s">
        <v>41</v>
      </c>
      <c r="F25" s="8">
        <v>1</v>
      </c>
      <c r="G25" s="9">
        <v>1</v>
      </c>
      <c r="H25" s="9">
        <v>1</v>
      </c>
      <c r="I25" s="17" t="s">
        <v>42</v>
      </c>
      <c r="J25" s="18" t="s">
        <v>13</v>
      </c>
      <c r="K25" s="15">
        <f t="shared" si="5"/>
        <v>6</v>
      </c>
      <c r="L25" s="12" t="str">
        <f t="shared" si="0"/>
        <v>06/03</v>
      </c>
      <c r="M25" s="12" t="str">
        <f t="shared" si="1"/>
        <v>d1</v>
      </c>
      <c r="N25" s="12" t="b">
        <f t="shared" si="2"/>
        <v>1</v>
      </c>
      <c r="O25" s="12">
        <f t="shared" si="3"/>
        <v>1</v>
      </c>
      <c r="P25" s="12" t="str">
        <f t="shared" si="4"/>
        <v>connected</v>
      </c>
    </row>
    <row r="26" spans="1:16" ht="13.5" customHeight="1" x14ac:dyDescent="0.3">
      <c r="A26" s="28"/>
      <c r="B26" s="31"/>
      <c r="C26" s="7">
        <v>4</v>
      </c>
      <c r="D26" s="1"/>
      <c r="E26" s="14" t="s">
        <v>28</v>
      </c>
      <c r="F26" s="8">
        <v>3</v>
      </c>
      <c r="G26" s="9">
        <v>7</v>
      </c>
      <c r="H26" s="9">
        <v>31</v>
      </c>
      <c r="I26" s="17" t="s">
        <v>43</v>
      </c>
      <c r="J26" s="18" t="s">
        <v>13</v>
      </c>
      <c r="K26" s="15">
        <f t="shared" si="5"/>
        <v>6</v>
      </c>
      <c r="L26" s="12" t="str">
        <f t="shared" si="0"/>
        <v>06/04</v>
      </c>
      <c r="M26" s="12" t="str">
        <f t="shared" si="1"/>
        <v>b31</v>
      </c>
      <c r="N26" s="12" t="b">
        <f t="shared" si="2"/>
        <v>1</v>
      </c>
      <c r="O26" s="12">
        <f t="shared" si="3"/>
        <v>1</v>
      </c>
      <c r="P26" s="12" t="str">
        <f t="shared" si="4"/>
        <v>connected</v>
      </c>
    </row>
    <row r="27" spans="1:16" ht="13.5" customHeight="1" x14ac:dyDescent="0.3">
      <c r="A27" s="26">
        <v>7</v>
      </c>
      <c r="B27" s="29" t="s">
        <v>44</v>
      </c>
      <c r="C27" s="10">
        <v>1</v>
      </c>
      <c r="D27" s="1"/>
      <c r="E27" s="14" t="s">
        <v>28</v>
      </c>
      <c r="F27" s="8">
        <v>3</v>
      </c>
      <c r="G27" s="9">
        <v>10</v>
      </c>
      <c r="H27" s="9">
        <v>34</v>
      </c>
      <c r="I27" s="17" t="s">
        <v>45</v>
      </c>
      <c r="J27" s="18" t="s">
        <v>13</v>
      </c>
      <c r="K27" s="15">
        <f t="shared" si="5"/>
        <v>7</v>
      </c>
      <c r="L27" s="12" t="str">
        <f t="shared" si="0"/>
        <v>07/01</v>
      </c>
      <c r="M27" s="12" t="str">
        <f t="shared" si="1"/>
        <v>b34</v>
      </c>
      <c r="N27" s="12" t="b">
        <f t="shared" si="2"/>
        <v>1</v>
      </c>
      <c r="O27" s="12">
        <f t="shared" si="3"/>
        <v>1</v>
      </c>
      <c r="P27" s="12" t="str">
        <f t="shared" si="4"/>
        <v>connected</v>
      </c>
    </row>
    <row r="28" spans="1:16" ht="13.5" customHeight="1" x14ac:dyDescent="0.3">
      <c r="A28" s="27"/>
      <c r="B28" s="30"/>
      <c r="C28" s="10">
        <v>2</v>
      </c>
      <c r="D28" s="1"/>
      <c r="E28" s="14" t="s">
        <v>28</v>
      </c>
      <c r="F28" s="8">
        <v>4</v>
      </c>
      <c r="G28" s="9">
        <v>1</v>
      </c>
      <c r="H28" s="9">
        <v>37</v>
      </c>
      <c r="I28" s="17" t="s">
        <v>46</v>
      </c>
      <c r="J28" s="18" t="s">
        <v>13</v>
      </c>
      <c r="K28" s="15">
        <f t="shared" si="5"/>
        <v>7</v>
      </c>
      <c r="L28" s="12" t="str">
        <f t="shared" si="0"/>
        <v>07/02</v>
      </c>
      <c r="M28" s="12" t="str">
        <f t="shared" si="1"/>
        <v>b37</v>
      </c>
      <c r="N28" s="12" t="b">
        <f t="shared" si="2"/>
        <v>1</v>
      </c>
      <c r="O28" s="12">
        <f t="shared" si="3"/>
        <v>1</v>
      </c>
      <c r="P28" s="12" t="str">
        <f t="shared" si="4"/>
        <v>connected</v>
      </c>
    </row>
    <row r="29" spans="1:16" ht="13.5" customHeight="1" x14ac:dyDescent="0.3">
      <c r="A29" s="27"/>
      <c r="B29" s="30"/>
      <c r="C29" s="10">
        <v>3</v>
      </c>
      <c r="D29" s="1"/>
      <c r="E29" s="14" t="s">
        <v>28</v>
      </c>
      <c r="F29" s="8">
        <v>4</v>
      </c>
      <c r="G29" s="11">
        <v>4</v>
      </c>
      <c r="H29" s="11">
        <v>40</v>
      </c>
      <c r="I29" s="17" t="s">
        <v>47</v>
      </c>
      <c r="J29" s="18" t="s">
        <v>13</v>
      </c>
      <c r="K29" s="15">
        <f t="shared" si="5"/>
        <v>7</v>
      </c>
      <c r="L29" s="12" t="str">
        <f t="shared" si="0"/>
        <v>07/03</v>
      </c>
      <c r="M29" s="12" t="str">
        <f t="shared" si="1"/>
        <v>b40</v>
      </c>
      <c r="N29" s="12" t="b">
        <f t="shared" si="2"/>
        <v>1</v>
      </c>
      <c r="O29" s="12">
        <f t="shared" si="3"/>
        <v>1</v>
      </c>
      <c r="P29" s="12" t="str">
        <f t="shared" si="4"/>
        <v>connected</v>
      </c>
    </row>
    <row r="30" spans="1:16" ht="13.5" customHeight="1" x14ac:dyDescent="0.3">
      <c r="A30" s="28"/>
      <c r="B30" s="31"/>
      <c r="C30" s="10">
        <v>4</v>
      </c>
      <c r="D30" s="1"/>
      <c r="E30" s="14" t="s">
        <v>39</v>
      </c>
      <c r="F30" s="8">
        <v>1</v>
      </c>
      <c r="G30" s="9">
        <v>2</v>
      </c>
      <c r="H30" s="9">
        <v>2</v>
      </c>
      <c r="I30" s="17" t="s">
        <v>48</v>
      </c>
      <c r="J30" s="18" t="s">
        <v>13</v>
      </c>
      <c r="K30" s="15">
        <f t="shared" si="5"/>
        <v>7</v>
      </c>
      <c r="L30" s="12" t="str">
        <f t="shared" si="0"/>
        <v>07/04</v>
      </c>
      <c r="M30" s="12" t="str">
        <f t="shared" si="1"/>
        <v>c2</v>
      </c>
      <c r="N30" s="12" t="b">
        <f t="shared" si="2"/>
        <v>1</v>
      </c>
      <c r="O30" s="12">
        <f t="shared" si="3"/>
        <v>1</v>
      </c>
      <c r="P30" s="12" t="str">
        <f t="shared" si="4"/>
        <v>connected</v>
      </c>
    </row>
    <row r="31" spans="1:16" ht="13.5" customHeight="1" x14ac:dyDescent="0.3">
      <c r="A31" s="26">
        <v>8</v>
      </c>
      <c r="B31" s="29" t="s">
        <v>49</v>
      </c>
      <c r="C31" s="10">
        <v>1</v>
      </c>
      <c r="D31" s="1"/>
      <c r="E31" s="16" t="s">
        <v>39</v>
      </c>
      <c r="F31" s="8">
        <v>1</v>
      </c>
      <c r="G31" s="11">
        <v>3</v>
      </c>
      <c r="H31" s="16">
        <v>3</v>
      </c>
      <c r="I31" s="18" t="s">
        <v>50</v>
      </c>
      <c r="J31" s="18" t="s">
        <v>13</v>
      </c>
      <c r="K31" s="15">
        <f t="shared" si="5"/>
        <v>8</v>
      </c>
      <c r="L31" s="12" t="str">
        <f t="shared" si="0"/>
        <v>08/01</v>
      </c>
      <c r="M31" s="12" t="str">
        <f t="shared" si="1"/>
        <v>c3</v>
      </c>
      <c r="N31" s="12" t="b">
        <f t="shared" si="2"/>
        <v>1</v>
      </c>
      <c r="O31" s="12">
        <f t="shared" si="3"/>
        <v>1</v>
      </c>
      <c r="P31" s="12" t="str">
        <f t="shared" si="4"/>
        <v>connected</v>
      </c>
    </row>
    <row r="32" spans="1:16" ht="13.5" customHeight="1" x14ac:dyDescent="0.3">
      <c r="A32" s="27"/>
      <c r="B32" s="30"/>
      <c r="C32" s="10">
        <v>2</v>
      </c>
      <c r="D32" s="1"/>
      <c r="E32" s="14" t="s">
        <v>11</v>
      </c>
      <c r="F32" s="8">
        <v>1</v>
      </c>
      <c r="G32" s="11">
        <v>2</v>
      </c>
      <c r="H32" s="11">
        <v>2</v>
      </c>
      <c r="I32" s="19" t="s">
        <v>51</v>
      </c>
      <c r="J32" s="20" t="s">
        <v>52</v>
      </c>
      <c r="K32" s="15">
        <f t="shared" si="5"/>
        <v>8</v>
      </c>
      <c r="L32" s="12" t="str">
        <f t="shared" si="0"/>
        <v>08/02</v>
      </c>
      <c r="M32" s="12" t="str">
        <f t="shared" si="1"/>
        <v>a2</v>
      </c>
      <c r="N32" s="12" t="b">
        <f t="shared" si="2"/>
        <v>1</v>
      </c>
      <c r="O32" s="12">
        <f t="shared" si="3"/>
        <v>1</v>
      </c>
      <c r="P32" s="12" t="str">
        <f t="shared" si="4"/>
        <v>planned</v>
      </c>
    </row>
    <row r="33" spans="1:16" ht="13.5" customHeight="1" x14ac:dyDescent="0.3">
      <c r="A33" s="27"/>
      <c r="B33" s="30"/>
      <c r="C33" s="10">
        <v>3</v>
      </c>
      <c r="D33" s="1"/>
      <c r="E33" s="14" t="s">
        <v>11</v>
      </c>
      <c r="F33" s="8">
        <v>1</v>
      </c>
      <c r="G33" s="11">
        <v>5</v>
      </c>
      <c r="H33" s="11">
        <v>5</v>
      </c>
      <c r="I33" s="19" t="s">
        <v>53</v>
      </c>
      <c r="J33" s="20" t="s">
        <v>52</v>
      </c>
      <c r="K33" s="15">
        <f t="shared" si="5"/>
        <v>8</v>
      </c>
      <c r="L33" s="12" t="str">
        <f t="shared" si="0"/>
        <v>08/03</v>
      </c>
      <c r="M33" s="12" t="str">
        <f t="shared" si="1"/>
        <v>a5</v>
      </c>
      <c r="N33" s="12" t="b">
        <f t="shared" si="2"/>
        <v>1</v>
      </c>
      <c r="O33" s="12">
        <f t="shared" si="3"/>
        <v>1</v>
      </c>
      <c r="P33" s="12" t="str">
        <f t="shared" si="4"/>
        <v>planned</v>
      </c>
    </row>
    <row r="34" spans="1:16" ht="13.5" customHeight="1" x14ac:dyDescent="0.3">
      <c r="A34" s="28"/>
      <c r="B34" s="31"/>
      <c r="C34" s="10">
        <v>4</v>
      </c>
      <c r="D34" s="1"/>
      <c r="E34" s="14" t="s">
        <v>11</v>
      </c>
      <c r="F34" s="8">
        <v>1</v>
      </c>
      <c r="G34" s="9">
        <v>8</v>
      </c>
      <c r="H34" s="9">
        <v>8</v>
      </c>
      <c r="I34" s="19" t="s">
        <v>15</v>
      </c>
      <c r="J34" s="20" t="s">
        <v>52</v>
      </c>
      <c r="K34" s="15">
        <f t="shared" si="5"/>
        <v>8</v>
      </c>
      <c r="L34" s="12" t="str">
        <f t="shared" si="0"/>
        <v>08/04</v>
      </c>
      <c r="M34" s="12" t="str">
        <f t="shared" si="1"/>
        <v>a8</v>
      </c>
      <c r="N34" s="12" t="b">
        <f t="shared" si="2"/>
        <v>1</v>
      </c>
      <c r="O34" s="12">
        <f t="shared" si="3"/>
        <v>1</v>
      </c>
      <c r="P34" s="12" t="str">
        <f t="shared" si="4"/>
        <v>planned</v>
      </c>
    </row>
    <row r="35" spans="1:16" ht="13.5" customHeight="1" x14ac:dyDescent="0.3">
      <c r="A35" s="26">
        <v>9</v>
      </c>
      <c r="B35" s="29" t="s">
        <v>54</v>
      </c>
      <c r="C35" s="10">
        <v>1</v>
      </c>
      <c r="D35" s="1"/>
      <c r="E35" s="14" t="s">
        <v>11</v>
      </c>
      <c r="F35" s="8">
        <v>1</v>
      </c>
      <c r="G35" s="11">
        <v>11</v>
      </c>
      <c r="H35" s="11">
        <v>11</v>
      </c>
      <c r="I35" s="19" t="s">
        <v>55</v>
      </c>
      <c r="J35" s="20" t="s">
        <v>52</v>
      </c>
      <c r="K35" s="15">
        <f t="shared" si="5"/>
        <v>9</v>
      </c>
      <c r="L35" s="12" t="str">
        <f t="shared" si="0"/>
        <v>09/01</v>
      </c>
      <c r="M35" s="12" t="str">
        <f t="shared" si="1"/>
        <v>a11</v>
      </c>
      <c r="N35" s="12" t="b">
        <f t="shared" si="2"/>
        <v>1</v>
      </c>
      <c r="O35" s="12">
        <f t="shared" si="3"/>
        <v>1</v>
      </c>
      <c r="P35" s="12" t="str">
        <f t="shared" si="4"/>
        <v>planned</v>
      </c>
    </row>
    <row r="36" spans="1:16" ht="13.5" customHeight="1" x14ac:dyDescent="0.3">
      <c r="A36" s="27"/>
      <c r="B36" s="30"/>
      <c r="C36" s="10">
        <v>2</v>
      </c>
      <c r="D36" s="1"/>
      <c r="E36" s="14" t="s">
        <v>11</v>
      </c>
      <c r="F36" s="8">
        <v>2</v>
      </c>
      <c r="G36" s="11">
        <v>2</v>
      </c>
      <c r="H36" s="11">
        <v>14</v>
      </c>
      <c r="I36" s="19" t="s">
        <v>56</v>
      </c>
      <c r="J36" s="20" t="s">
        <v>52</v>
      </c>
      <c r="K36" s="15">
        <f t="shared" si="5"/>
        <v>9</v>
      </c>
      <c r="L36" s="12" t="str">
        <f t="shared" si="0"/>
        <v>09/02</v>
      </c>
      <c r="M36" s="12" t="str">
        <f t="shared" si="1"/>
        <v>a14</v>
      </c>
      <c r="N36" s="12" t="b">
        <f t="shared" si="2"/>
        <v>1</v>
      </c>
      <c r="O36" s="12">
        <f t="shared" si="3"/>
        <v>1</v>
      </c>
      <c r="P36" s="12" t="str">
        <f t="shared" si="4"/>
        <v>planned</v>
      </c>
    </row>
    <row r="37" spans="1:16" ht="13.5" customHeight="1" x14ac:dyDescent="0.3">
      <c r="A37" s="27"/>
      <c r="B37" s="30"/>
      <c r="C37" s="10">
        <v>3</v>
      </c>
      <c r="D37" s="1"/>
      <c r="E37" s="14" t="s">
        <v>11</v>
      </c>
      <c r="F37" s="8">
        <v>2</v>
      </c>
      <c r="G37" s="11">
        <v>8</v>
      </c>
      <c r="H37" s="11">
        <v>20</v>
      </c>
      <c r="I37" s="19" t="s">
        <v>57</v>
      </c>
      <c r="J37" s="20" t="s">
        <v>52</v>
      </c>
      <c r="K37" s="15">
        <f t="shared" si="5"/>
        <v>9</v>
      </c>
      <c r="L37" s="12" t="str">
        <f t="shared" si="0"/>
        <v>09/03</v>
      </c>
      <c r="M37" s="12" t="str">
        <f t="shared" si="1"/>
        <v>a20</v>
      </c>
      <c r="N37" s="12" t="b">
        <f t="shared" si="2"/>
        <v>1</v>
      </c>
      <c r="O37" s="12">
        <f t="shared" si="3"/>
        <v>1</v>
      </c>
      <c r="P37" s="12" t="str">
        <f t="shared" si="4"/>
        <v>planned</v>
      </c>
    </row>
    <row r="38" spans="1:16" ht="13.5" customHeight="1" x14ac:dyDescent="0.3">
      <c r="A38" s="28"/>
      <c r="B38" s="31"/>
      <c r="C38" s="10">
        <v>4</v>
      </c>
      <c r="D38" s="1"/>
      <c r="E38" s="14" t="s">
        <v>11</v>
      </c>
      <c r="F38" s="8">
        <v>2</v>
      </c>
      <c r="G38" s="9">
        <v>11</v>
      </c>
      <c r="H38" s="9">
        <v>23</v>
      </c>
      <c r="I38" s="19" t="s">
        <v>58</v>
      </c>
      <c r="J38" s="20" t="s">
        <v>52</v>
      </c>
      <c r="K38" s="15">
        <f t="shared" si="5"/>
        <v>9</v>
      </c>
      <c r="L38" s="12" t="str">
        <f t="shared" si="0"/>
        <v>09/04</v>
      </c>
      <c r="M38" s="12" t="str">
        <f t="shared" si="1"/>
        <v>a23</v>
      </c>
      <c r="N38" s="12" t="b">
        <f t="shared" si="2"/>
        <v>1</v>
      </c>
      <c r="O38" s="12">
        <f t="shared" si="3"/>
        <v>1</v>
      </c>
      <c r="P38" s="12" t="str">
        <f t="shared" si="4"/>
        <v>planned</v>
      </c>
    </row>
    <row r="39" spans="1:16" ht="13.5" customHeight="1" x14ac:dyDescent="0.3">
      <c r="A39" s="26">
        <v>10</v>
      </c>
      <c r="B39" s="29" t="s">
        <v>59</v>
      </c>
      <c r="C39" s="10">
        <v>1</v>
      </c>
      <c r="D39" s="1"/>
      <c r="E39" s="14" t="s">
        <v>11</v>
      </c>
      <c r="F39" s="8">
        <v>3</v>
      </c>
      <c r="G39" s="11">
        <v>2</v>
      </c>
      <c r="H39" s="11">
        <v>26</v>
      </c>
      <c r="I39" s="19" t="s">
        <v>60</v>
      </c>
      <c r="J39" s="20" t="s">
        <v>52</v>
      </c>
      <c r="K39" s="15">
        <f t="shared" si="5"/>
        <v>10</v>
      </c>
      <c r="L39" s="12" t="str">
        <f t="shared" si="0"/>
        <v>10/01</v>
      </c>
      <c r="M39" s="12" t="str">
        <f t="shared" si="1"/>
        <v>a26</v>
      </c>
      <c r="N39" s="12" t="b">
        <f t="shared" si="2"/>
        <v>1</v>
      </c>
      <c r="O39" s="12">
        <f t="shared" si="3"/>
        <v>1</v>
      </c>
      <c r="P39" s="12" t="str">
        <f t="shared" si="4"/>
        <v>planned</v>
      </c>
    </row>
    <row r="40" spans="1:16" ht="13.5" customHeight="1" x14ac:dyDescent="0.3">
      <c r="A40" s="27"/>
      <c r="B40" s="30"/>
      <c r="C40" s="10">
        <v>2</v>
      </c>
      <c r="D40" s="1"/>
      <c r="E40" s="14" t="s">
        <v>11</v>
      </c>
      <c r="F40" s="8">
        <v>3</v>
      </c>
      <c r="G40" s="11">
        <v>5</v>
      </c>
      <c r="H40" s="11">
        <v>29</v>
      </c>
      <c r="I40" s="19" t="s">
        <v>61</v>
      </c>
      <c r="J40" s="20" t="s">
        <v>52</v>
      </c>
      <c r="K40" s="15">
        <f t="shared" si="5"/>
        <v>10</v>
      </c>
      <c r="L40" s="12" t="str">
        <f t="shared" si="0"/>
        <v>10/02</v>
      </c>
      <c r="M40" s="12" t="str">
        <f t="shared" si="1"/>
        <v>a29</v>
      </c>
      <c r="N40" s="12" t="b">
        <f t="shared" si="2"/>
        <v>1</v>
      </c>
      <c r="O40" s="12">
        <f t="shared" si="3"/>
        <v>1</v>
      </c>
      <c r="P40" s="12" t="str">
        <f t="shared" si="4"/>
        <v>planned</v>
      </c>
    </row>
    <row r="41" spans="1:16" ht="13.5" customHeight="1" x14ac:dyDescent="0.3">
      <c r="A41" s="27"/>
      <c r="B41" s="30"/>
      <c r="C41" s="10">
        <v>3</v>
      </c>
      <c r="D41" s="1"/>
      <c r="E41" s="14" t="s">
        <v>11</v>
      </c>
      <c r="F41" s="8">
        <v>3</v>
      </c>
      <c r="G41" s="11">
        <v>8</v>
      </c>
      <c r="H41" s="11">
        <v>32</v>
      </c>
      <c r="I41" s="19" t="s">
        <v>62</v>
      </c>
      <c r="J41" s="20" t="s">
        <v>52</v>
      </c>
      <c r="K41" s="15">
        <f t="shared" si="5"/>
        <v>10</v>
      </c>
      <c r="L41" s="12" t="str">
        <f t="shared" si="0"/>
        <v>10/03</v>
      </c>
      <c r="M41" s="12" t="str">
        <f t="shared" si="1"/>
        <v>a32</v>
      </c>
      <c r="N41" s="12" t="b">
        <f t="shared" si="2"/>
        <v>1</v>
      </c>
      <c r="O41" s="12">
        <f t="shared" si="3"/>
        <v>1</v>
      </c>
      <c r="P41" s="12" t="str">
        <f t="shared" si="4"/>
        <v>planned</v>
      </c>
    </row>
    <row r="42" spans="1:16" ht="13.5" customHeight="1" x14ac:dyDescent="0.3">
      <c r="A42" s="28"/>
      <c r="B42" s="31"/>
      <c r="C42" s="10">
        <v>4</v>
      </c>
      <c r="D42" s="1"/>
      <c r="E42" s="14" t="s">
        <v>11</v>
      </c>
      <c r="F42" s="8">
        <v>3</v>
      </c>
      <c r="G42" s="11">
        <v>11</v>
      </c>
      <c r="H42" s="11">
        <v>35</v>
      </c>
      <c r="I42" s="19" t="s">
        <v>63</v>
      </c>
      <c r="J42" s="20" t="s">
        <v>52</v>
      </c>
      <c r="K42" s="15">
        <f t="shared" si="5"/>
        <v>10</v>
      </c>
      <c r="L42" s="12" t="str">
        <f t="shared" si="0"/>
        <v>10/04</v>
      </c>
      <c r="M42" s="12" t="str">
        <f t="shared" si="1"/>
        <v>a35</v>
      </c>
      <c r="N42" s="12" t="b">
        <f t="shared" si="2"/>
        <v>1</v>
      </c>
      <c r="O42" s="12">
        <f t="shared" si="3"/>
        <v>1</v>
      </c>
      <c r="P42" s="12" t="str">
        <f t="shared" si="4"/>
        <v>planned</v>
      </c>
    </row>
    <row r="43" spans="1:16" ht="13.5" customHeight="1" x14ac:dyDescent="0.3">
      <c r="A43" s="26">
        <v>11</v>
      </c>
      <c r="B43" s="29" t="s">
        <v>64</v>
      </c>
      <c r="C43" s="10">
        <v>1</v>
      </c>
      <c r="D43" s="1"/>
      <c r="E43" s="14" t="s">
        <v>28</v>
      </c>
      <c r="F43" s="8">
        <v>1</v>
      </c>
      <c r="G43" s="9">
        <v>2</v>
      </c>
      <c r="H43" s="9">
        <v>2</v>
      </c>
      <c r="I43" s="19" t="s">
        <v>65</v>
      </c>
      <c r="J43" s="20" t="s">
        <v>52</v>
      </c>
      <c r="K43" s="15">
        <f t="shared" si="5"/>
        <v>11</v>
      </c>
      <c r="L43" s="12" t="str">
        <f t="shared" si="0"/>
        <v>11/01</v>
      </c>
      <c r="M43" s="12" t="str">
        <f t="shared" si="1"/>
        <v>b2</v>
      </c>
      <c r="N43" s="12" t="b">
        <f t="shared" si="2"/>
        <v>1</v>
      </c>
      <c r="O43" s="12">
        <f t="shared" si="3"/>
        <v>1</v>
      </c>
      <c r="P43" s="12" t="str">
        <f t="shared" si="4"/>
        <v>planned</v>
      </c>
    </row>
    <row r="44" spans="1:16" ht="13.5" customHeight="1" x14ac:dyDescent="0.3">
      <c r="A44" s="27"/>
      <c r="B44" s="30"/>
      <c r="C44" s="10">
        <v>2</v>
      </c>
      <c r="D44" s="1"/>
      <c r="E44" s="14" t="s">
        <v>28</v>
      </c>
      <c r="F44" s="8">
        <v>1</v>
      </c>
      <c r="G44" s="11">
        <v>5</v>
      </c>
      <c r="H44" s="11">
        <v>5</v>
      </c>
      <c r="I44" s="19" t="s">
        <v>15</v>
      </c>
      <c r="J44" s="20" t="s">
        <v>52</v>
      </c>
      <c r="K44" s="15">
        <f t="shared" si="5"/>
        <v>11</v>
      </c>
      <c r="L44" s="12" t="str">
        <f t="shared" si="0"/>
        <v>11/02</v>
      </c>
      <c r="M44" s="12" t="str">
        <f t="shared" si="1"/>
        <v>b5</v>
      </c>
      <c r="N44" s="12" t="b">
        <f t="shared" si="2"/>
        <v>1</v>
      </c>
      <c r="O44" s="12">
        <f t="shared" si="3"/>
        <v>1</v>
      </c>
      <c r="P44" s="12" t="str">
        <f t="shared" si="4"/>
        <v>planned</v>
      </c>
    </row>
    <row r="45" spans="1:16" ht="13.5" customHeight="1" x14ac:dyDescent="0.3">
      <c r="A45" s="27"/>
      <c r="B45" s="30"/>
      <c r="C45" s="10">
        <v>3</v>
      </c>
      <c r="D45" s="1"/>
      <c r="E45" s="14" t="s">
        <v>28</v>
      </c>
      <c r="F45" s="8">
        <v>1</v>
      </c>
      <c r="G45" s="9">
        <v>11</v>
      </c>
      <c r="H45" s="9">
        <v>11</v>
      </c>
      <c r="I45" s="19" t="s">
        <v>66</v>
      </c>
      <c r="J45" s="20" t="s">
        <v>52</v>
      </c>
      <c r="K45" s="15">
        <f t="shared" si="5"/>
        <v>11</v>
      </c>
      <c r="L45" s="12" t="str">
        <f t="shared" si="0"/>
        <v>11/03</v>
      </c>
      <c r="M45" s="12" t="str">
        <f t="shared" si="1"/>
        <v>b11</v>
      </c>
      <c r="N45" s="12" t="b">
        <f t="shared" si="2"/>
        <v>1</v>
      </c>
      <c r="O45" s="12">
        <f t="shared" si="3"/>
        <v>1</v>
      </c>
      <c r="P45" s="12" t="str">
        <f t="shared" si="4"/>
        <v>planned</v>
      </c>
    </row>
    <row r="46" spans="1:16" ht="13.5" customHeight="1" x14ac:dyDescent="0.3">
      <c r="A46" s="28"/>
      <c r="B46" s="31"/>
      <c r="C46" s="10">
        <v>4</v>
      </c>
      <c r="D46" s="1"/>
      <c r="E46" s="14" t="s">
        <v>28</v>
      </c>
      <c r="F46" s="8">
        <v>2</v>
      </c>
      <c r="G46" s="9">
        <v>5</v>
      </c>
      <c r="H46" s="9">
        <v>17</v>
      </c>
      <c r="I46" s="19" t="s">
        <v>67</v>
      </c>
      <c r="J46" s="20" t="s">
        <v>52</v>
      </c>
      <c r="K46" s="15">
        <f t="shared" si="5"/>
        <v>11</v>
      </c>
      <c r="L46" s="12" t="str">
        <f t="shared" si="0"/>
        <v>11/04</v>
      </c>
      <c r="M46" s="12" t="str">
        <f t="shared" si="1"/>
        <v>b17</v>
      </c>
      <c r="N46" s="12" t="b">
        <f t="shared" si="2"/>
        <v>1</v>
      </c>
      <c r="O46" s="12">
        <f t="shared" si="3"/>
        <v>1</v>
      </c>
      <c r="P46" s="12" t="str">
        <f t="shared" si="4"/>
        <v>planned</v>
      </c>
    </row>
    <row r="47" spans="1:16" ht="13.5" customHeight="1" x14ac:dyDescent="0.3">
      <c r="A47" s="26">
        <v>12</v>
      </c>
      <c r="B47" s="29" t="s">
        <v>68</v>
      </c>
      <c r="C47" s="10">
        <v>1</v>
      </c>
      <c r="D47" s="1"/>
      <c r="E47" s="14" t="s">
        <v>28</v>
      </c>
      <c r="F47" s="8">
        <v>2</v>
      </c>
      <c r="G47" s="11">
        <v>8</v>
      </c>
      <c r="H47" s="11">
        <v>20</v>
      </c>
      <c r="I47" s="19" t="s">
        <v>69</v>
      </c>
      <c r="J47" s="20" t="s">
        <v>52</v>
      </c>
      <c r="K47" s="15">
        <f t="shared" si="5"/>
        <v>12</v>
      </c>
      <c r="L47" s="12" t="str">
        <f t="shared" si="0"/>
        <v>12/01</v>
      </c>
      <c r="M47" s="12" t="str">
        <f t="shared" si="1"/>
        <v>b20</v>
      </c>
      <c r="N47" s="12" t="b">
        <f t="shared" si="2"/>
        <v>1</v>
      </c>
      <c r="O47" s="12">
        <f t="shared" si="3"/>
        <v>1</v>
      </c>
      <c r="P47" s="12" t="str">
        <f t="shared" si="4"/>
        <v>planned</v>
      </c>
    </row>
    <row r="48" spans="1:16" ht="13.5" customHeight="1" x14ac:dyDescent="0.3">
      <c r="A48" s="27"/>
      <c r="B48" s="30"/>
      <c r="C48" s="10">
        <v>2</v>
      </c>
      <c r="D48" s="1"/>
      <c r="E48" s="14" t="s">
        <v>28</v>
      </c>
      <c r="F48" s="8">
        <v>2</v>
      </c>
      <c r="G48" s="11">
        <v>11</v>
      </c>
      <c r="H48" s="11">
        <v>23</v>
      </c>
      <c r="I48" s="19" t="s">
        <v>70</v>
      </c>
      <c r="J48" s="20" t="s">
        <v>52</v>
      </c>
      <c r="K48" s="15">
        <f t="shared" si="5"/>
        <v>12</v>
      </c>
      <c r="L48" s="12" t="str">
        <f t="shared" si="0"/>
        <v>12/02</v>
      </c>
      <c r="M48" s="12" t="str">
        <f t="shared" si="1"/>
        <v>b23</v>
      </c>
      <c r="N48" s="12" t="b">
        <f t="shared" si="2"/>
        <v>1</v>
      </c>
      <c r="O48" s="12">
        <f t="shared" si="3"/>
        <v>1</v>
      </c>
      <c r="P48" s="12" t="str">
        <f t="shared" si="4"/>
        <v>planned</v>
      </c>
    </row>
    <row r="49" spans="1:16" ht="13.5" customHeight="1" x14ac:dyDescent="0.3">
      <c r="A49" s="27"/>
      <c r="B49" s="30"/>
      <c r="C49" s="10">
        <v>3</v>
      </c>
      <c r="D49" s="1"/>
      <c r="E49" s="14" t="s">
        <v>28</v>
      </c>
      <c r="F49" s="8">
        <v>3</v>
      </c>
      <c r="G49" s="11">
        <v>2</v>
      </c>
      <c r="H49" s="11">
        <v>26</v>
      </c>
      <c r="I49" s="19" t="s">
        <v>71</v>
      </c>
      <c r="J49" s="20" t="s">
        <v>52</v>
      </c>
      <c r="K49" s="15">
        <f t="shared" si="5"/>
        <v>12</v>
      </c>
      <c r="L49" s="12" t="str">
        <f t="shared" si="0"/>
        <v>12/03</v>
      </c>
      <c r="M49" s="12" t="str">
        <f t="shared" si="1"/>
        <v>b26</v>
      </c>
      <c r="N49" s="12" t="b">
        <f t="shared" si="2"/>
        <v>1</v>
      </c>
      <c r="O49" s="12">
        <f t="shared" si="3"/>
        <v>1</v>
      </c>
      <c r="P49" s="12" t="str">
        <f t="shared" si="4"/>
        <v>planned</v>
      </c>
    </row>
    <row r="50" spans="1:16" ht="13.5" customHeight="1" x14ac:dyDescent="0.3">
      <c r="A50" s="28"/>
      <c r="B50" s="31"/>
      <c r="C50" s="10">
        <v>4</v>
      </c>
      <c r="E50" s="14" t="s">
        <v>28</v>
      </c>
      <c r="F50" s="8">
        <v>3</v>
      </c>
      <c r="G50" s="11">
        <v>5</v>
      </c>
      <c r="H50" s="11">
        <v>29</v>
      </c>
      <c r="I50" s="19" t="s">
        <v>72</v>
      </c>
      <c r="J50" s="20" t="s">
        <v>52</v>
      </c>
      <c r="K50" s="15">
        <f t="shared" si="5"/>
        <v>12</v>
      </c>
      <c r="L50" s="12" t="str">
        <f t="shared" si="0"/>
        <v>12/04</v>
      </c>
      <c r="M50" s="12" t="str">
        <f t="shared" si="1"/>
        <v>b29</v>
      </c>
      <c r="N50" s="12" t="b">
        <f t="shared" si="2"/>
        <v>1</v>
      </c>
      <c r="O50" s="12">
        <f t="shared" si="3"/>
        <v>1</v>
      </c>
      <c r="P50" s="12" t="str">
        <f t="shared" si="4"/>
        <v>planned</v>
      </c>
    </row>
    <row r="51" spans="1:16" ht="13.5" customHeight="1" x14ac:dyDescent="0.3">
      <c r="A51" s="26">
        <v>13</v>
      </c>
      <c r="B51" s="29" t="s">
        <v>73</v>
      </c>
      <c r="C51" s="10">
        <v>1</v>
      </c>
      <c r="E51" s="14" t="s">
        <v>41</v>
      </c>
      <c r="F51" s="8">
        <v>1</v>
      </c>
      <c r="G51" s="11">
        <v>2</v>
      </c>
      <c r="H51" s="11">
        <v>2</v>
      </c>
      <c r="I51" s="19" t="s">
        <v>74</v>
      </c>
      <c r="J51" s="20" t="s">
        <v>52</v>
      </c>
      <c r="K51" s="15">
        <f t="shared" si="5"/>
        <v>13</v>
      </c>
      <c r="L51" s="12" t="str">
        <f t="shared" si="0"/>
        <v>13/01</v>
      </c>
      <c r="M51" s="12" t="str">
        <f t="shared" si="1"/>
        <v>d2</v>
      </c>
      <c r="N51" s="12" t="b">
        <f t="shared" si="2"/>
        <v>1</v>
      </c>
      <c r="O51" s="12">
        <f t="shared" si="3"/>
        <v>1</v>
      </c>
      <c r="P51" s="12" t="str">
        <f t="shared" si="4"/>
        <v>planned</v>
      </c>
    </row>
    <row r="52" spans="1:16" ht="13.5" customHeight="1" x14ac:dyDescent="0.3">
      <c r="A52" s="27"/>
      <c r="B52" s="30"/>
      <c r="C52" s="10">
        <v>2</v>
      </c>
      <c r="E52" s="14" t="s">
        <v>28</v>
      </c>
      <c r="F52" s="8">
        <v>3</v>
      </c>
      <c r="G52" s="9">
        <v>8</v>
      </c>
      <c r="H52" s="9">
        <v>32</v>
      </c>
      <c r="I52" s="19" t="s">
        <v>75</v>
      </c>
      <c r="J52" s="20" t="s">
        <v>52</v>
      </c>
      <c r="K52" s="15">
        <f t="shared" si="5"/>
        <v>13</v>
      </c>
      <c r="L52" s="12" t="str">
        <f t="shared" si="0"/>
        <v>13/02</v>
      </c>
      <c r="M52" s="12" t="str">
        <f t="shared" si="1"/>
        <v>b32</v>
      </c>
      <c r="N52" s="12" t="b">
        <f t="shared" si="2"/>
        <v>1</v>
      </c>
      <c r="O52" s="12">
        <f t="shared" si="3"/>
        <v>1</v>
      </c>
      <c r="P52" s="12" t="str">
        <f t="shared" si="4"/>
        <v>planned</v>
      </c>
    </row>
    <row r="53" spans="1:16" ht="13.5" customHeight="1" x14ac:dyDescent="0.3">
      <c r="A53" s="27"/>
      <c r="B53" s="30"/>
      <c r="C53" s="10">
        <v>3</v>
      </c>
      <c r="E53" s="14" t="s">
        <v>28</v>
      </c>
      <c r="F53" s="8">
        <v>3</v>
      </c>
      <c r="G53" s="11">
        <v>11</v>
      </c>
      <c r="H53" s="11">
        <v>35</v>
      </c>
      <c r="I53" s="19" t="s">
        <v>76</v>
      </c>
      <c r="J53" s="20" t="s">
        <v>52</v>
      </c>
      <c r="K53" s="15">
        <f t="shared" si="5"/>
        <v>13</v>
      </c>
      <c r="L53" s="12" t="str">
        <f t="shared" si="0"/>
        <v>13/03</v>
      </c>
      <c r="M53" s="12" t="str">
        <f t="shared" si="1"/>
        <v>b35</v>
      </c>
      <c r="N53" s="12" t="b">
        <f t="shared" si="2"/>
        <v>1</v>
      </c>
      <c r="O53" s="12">
        <f t="shared" si="3"/>
        <v>1</v>
      </c>
      <c r="P53" s="12" t="str">
        <f t="shared" si="4"/>
        <v>planned</v>
      </c>
    </row>
    <row r="54" spans="1:16" ht="13.5" customHeight="1" x14ac:dyDescent="0.3">
      <c r="A54" s="28"/>
      <c r="B54" s="31"/>
      <c r="C54" s="10">
        <v>4</v>
      </c>
      <c r="E54" s="14" t="s">
        <v>28</v>
      </c>
      <c r="F54" s="8">
        <v>4</v>
      </c>
      <c r="G54" s="11">
        <v>2</v>
      </c>
      <c r="H54" s="11">
        <v>38</v>
      </c>
      <c r="I54" s="19" t="s">
        <v>77</v>
      </c>
      <c r="J54" s="20" t="s">
        <v>52</v>
      </c>
      <c r="K54" s="15">
        <f t="shared" si="5"/>
        <v>13</v>
      </c>
      <c r="L54" s="12" t="str">
        <f t="shared" si="0"/>
        <v>13/04</v>
      </c>
      <c r="M54" s="12" t="str">
        <f t="shared" si="1"/>
        <v>b38</v>
      </c>
      <c r="N54" s="12" t="b">
        <f t="shared" si="2"/>
        <v>1</v>
      </c>
      <c r="O54" s="12">
        <f t="shared" si="3"/>
        <v>1</v>
      </c>
      <c r="P54" s="12" t="str">
        <f t="shared" si="4"/>
        <v>planned</v>
      </c>
    </row>
    <row r="55" spans="1:16" ht="13.5" customHeight="1" x14ac:dyDescent="0.3">
      <c r="A55" s="26">
        <v>14</v>
      </c>
      <c r="B55" s="29" t="s">
        <v>78</v>
      </c>
      <c r="C55" s="10">
        <v>1</v>
      </c>
      <c r="E55" s="14" t="s">
        <v>28</v>
      </c>
      <c r="F55" s="8">
        <v>4</v>
      </c>
      <c r="G55" s="11">
        <v>5</v>
      </c>
      <c r="H55" s="11">
        <v>41</v>
      </c>
      <c r="I55" s="19" t="s">
        <v>79</v>
      </c>
      <c r="J55" s="20" t="s">
        <v>52</v>
      </c>
      <c r="K55" s="15">
        <f t="shared" si="5"/>
        <v>14</v>
      </c>
      <c r="L55" s="12" t="str">
        <f t="shared" si="0"/>
        <v>14/01</v>
      </c>
      <c r="M55" s="12" t="str">
        <f t="shared" si="1"/>
        <v>b41</v>
      </c>
      <c r="N55" s="12" t="b">
        <f t="shared" si="2"/>
        <v>1</v>
      </c>
      <c r="O55" s="12">
        <f t="shared" si="3"/>
        <v>1</v>
      </c>
      <c r="P55" s="12" t="str">
        <f t="shared" si="4"/>
        <v>planned</v>
      </c>
    </row>
    <row r="56" spans="1:16" ht="13.5" customHeight="1" x14ac:dyDescent="0.3">
      <c r="A56" s="27"/>
      <c r="B56" s="30"/>
      <c r="C56" s="10">
        <v>2</v>
      </c>
      <c r="E56" s="14" t="s">
        <v>11</v>
      </c>
      <c r="F56" s="8">
        <v>1</v>
      </c>
      <c r="G56" s="11">
        <v>9</v>
      </c>
      <c r="H56" s="11">
        <v>9</v>
      </c>
      <c r="I56" s="19" t="s">
        <v>80</v>
      </c>
      <c r="J56" s="20" t="s">
        <v>52</v>
      </c>
      <c r="K56" s="15">
        <f t="shared" si="5"/>
        <v>14</v>
      </c>
      <c r="L56" s="12" t="str">
        <f t="shared" si="0"/>
        <v>14/02</v>
      </c>
      <c r="M56" s="12" t="str">
        <f t="shared" si="1"/>
        <v>a9</v>
      </c>
      <c r="N56" s="12" t="b">
        <f t="shared" si="2"/>
        <v>1</v>
      </c>
      <c r="O56" s="12">
        <f t="shared" si="3"/>
        <v>1</v>
      </c>
      <c r="P56" s="12" t="str">
        <f t="shared" si="4"/>
        <v>planned</v>
      </c>
    </row>
    <row r="57" spans="1:16" ht="13.5" customHeight="1" x14ac:dyDescent="0.3">
      <c r="A57" s="27"/>
      <c r="B57" s="30"/>
      <c r="C57" s="10">
        <v>3</v>
      </c>
      <c r="E57" s="14" t="s">
        <v>11</v>
      </c>
      <c r="F57" s="8">
        <v>2</v>
      </c>
      <c r="G57" s="11">
        <v>3</v>
      </c>
      <c r="H57" s="11">
        <v>15</v>
      </c>
      <c r="I57" s="19" t="s">
        <v>81</v>
      </c>
      <c r="J57" s="20" t="s">
        <v>52</v>
      </c>
      <c r="K57" s="15">
        <f t="shared" si="5"/>
        <v>14</v>
      </c>
      <c r="L57" s="12" t="str">
        <f t="shared" si="0"/>
        <v>14/03</v>
      </c>
      <c r="M57" s="12" t="str">
        <f t="shared" si="1"/>
        <v>a15</v>
      </c>
      <c r="N57" s="12" t="b">
        <f t="shared" si="2"/>
        <v>1</v>
      </c>
      <c r="O57" s="12">
        <f t="shared" si="3"/>
        <v>1</v>
      </c>
      <c r="P57" s="12" t="str">
        <f t="shared" si="4"/>
        <v>planned</v>
      </c>
    </row>
    <row r="58" spans="1:16" ht="13.5" customHeight="1" x14ac:dyDescent="0.3">
      <c r="A58" s="28"/>
      <c r="B58" s="31"/>
      <c r="C58" s="10">
        <v>4</v>
      </c>
      <c r="E58" s="14" t="s">
        <v>11</v>
      </c>
      <c r="F58" s="8">
        <v>2</v>
      </c>
      <c r="G58" s="11">
        <v>9</v>
      </c>
      <c r="H58" s="11">
        <v>21</v>
      </c>
      <c r="I58" s="19" t="s">
        <v>82</v>
      </c>
      <c r="J58" s="20" t="s">
        <v>52</v>
      </c>
      <c r="K58" s="15">
        <f t="shared" si="5"/>
        <v>14</v>
      </c>
      <c r="L58" s="12" t="str">
        <f t="shared" si="0"/>
        <v>14/04</v>
      </c>
      <c r="M58" s="12" t="str">
        <f t="shared" si="1"/>
        <v>a21</v>
      </c>
      <c r="N58" s="12" t="b">
        <f t="shared" si="2"/>
        <v>1</v>
      </c>
      <c r="O58" s="12">
        <f t="shared" si="3"/>
        <v>1</v>
      </c>
      <c r="P58" s="12" t="str">
        <f t="shared" si="4"/>
        <v>planned</v>
      </c>
    </row>
    <row r="59" spans="1:16" ht="13.5" customHeight="1" x14ac:dyDescent="0.3">
      <c r="A59" s="26">
        <v>15</v>
      </c>
      <c r="B59" s="29" t="s">
        <v>83</v>
      </c>
      <c r="C59" s="10">
        <v>1</v>
      </c>
      <c r="E59" s="14" t="s">
        <v>11</v>
      </c>
      <c r="F59" s="8">
        <v>3</v>
      </c>
      <c r="G59" s="11">
        <v>3</v>
      </c>
      <c r="H59" s="11">
        <v>27</v>
      </c>
      <c r="I59" s="19" t="s">
        <v>84</v>
      </c>
      <c r="J59" s="20" t="s">
        <v>52</v>
      </c>
      <c r="K59" s="15">
        <f t="shared" si="5"/>
        <v>15</v>
      </c>
      <c r="L59" s="12" t="str">
        <f t="shared" si="0"/>
        <v>15/01</v>
      </c>
      <c r="M59" s="12" t="str">
        <f t="shared" si="1"/>
        <v>a27</v>
      </c>
      <c r="N59" s="12" t="b">
        <f t="shared" si="2"/>
        <v>1</v>
      </c>
      <c r="O59" s="12">
        <f t="shared" si="3"/>
        <v>1</v>
      </c>
      <c r="P59" s="12" t="str">
        <f t="shared" si="4"/>
        <v>planned</v>
      </c>
    </row>
    <row r="60" spans="1:16" ht="13.5" customHeight="1" x14ac:dyDescent="0.3">
      <c r="A60" s="27"/>
      <c r="B60" s="30"/>
      <c r="C60" s="10">
        <v>2</v>
      </c>
      <c r="E60" s="14" t="s">
        <v>11</v>
      </c>
      <c r="F60" s="8">
        <v>3</v>
      </c>
      <c r="G60" s="11">
        <v>6</v>
      </c>
      <c r="H60" s="11">
        <v>30</v>
      </c>
      <c r="I60" s="19" t="s">
        <v>85</v>
      </c>
      <c r="J60" s="20" t="s">
        <v>52</v>
      </c>
      <c r="K60" s="15">
        <f t="shared" si="5"/>
        <v>15</v>
      </c>
      <c r="L60" s="12" t="str">
        <f t="shared" si="0"/>
        <v>15/02</v>
      </c>
      <c r="M60" s="12" t="str">
        <f t="shared" si="1"/>
        <v>a30</v>
      </c>
      <c r="N60" s="12" t="b">
        <f t="shared" si="2"/>
        <v>1</v>
      </c>
      <c r="O60" s="12">
        <f t="shared" si="3"/>
        <v>1</v>
      </c>
      <c r="P60" s="12" t="str">
        <f t="shared" si="4"/>
        <v>planned</v>
      </c>
    </row>
    <row r="61" spans="1:16" ht="13.5" customHeight="1" x14ac:dyDescent="0.3">
      <c r="A61" s="27"/>
      <c r="B61" s="30"/>
      <c r="C61" s="10">
        <v>3</v>
      </c>
      <c r="E61" s="14" t="s">
        <v>11</v>
      </c>
      <c r="F61" s="8">
        <v>3</v>
      </c>
      <c r="G61" s="11">
        <v>9</v>
      </c>
      <c r="H61" s="11">
        <v>33</v>
      </c>
      <c r="I61" s="19" t="s">
        <v>86</v>
      </c>
      <c r="J61" s="20" t="s">
        <v>52</v>
      </c>
      <c r="K61" s="15">
        <f t="shared" si="5"/>
        <v>15</v>
      </c>
      <c r="L61" s="12" t="str">
        <f t="shared" si="0"/>
        <v>15/03</v>
      </c>
      <c r="M61" s="12" t="str">
        <f t="shared" si="1"/>
        <v>a33</v>
      </c>
      <c r="N61" s="12" t="b">
        <f t="shared" si="2"/>
        <v>1</v>
      </c>
      <c r="O61" s="12">
        <f t="shared" si="3"/>
        <v>1</v>
      </c>
      <c r="P61" s="12" t="str">
        <f t="shared" si="4"/>
        <v>planned</v>
      </c>
    </row>
    <row r="62" spans="1:16" ht="13.5" customHeight="1" x14ac:dyDescent="0.3">
      <c r="A62" s="28"/>
      <c r="B62" s="31"/>
      <c r="C62" s="10">
        <v>4</v>
      </c>
      <c r="E62" s="14" t="s">
        <v>11</v>
      </c>
      <c r="F62" s="8">
        <v>3</v>
      </c>
      <c r="G62" s="9">
        <v>12</v>
      </c>
      <c r="H62" s="11">
        <v>36</v>
      </c>
      <c r="I62" s="19" t="s">
        <v>87</v>
      </c>
      <c r="J62" s="20" t="s">
        <v>52</v>
      </c>
      <c r="K62" s="15">
        <f t="shared" si="5"/>
        <v>15</v>
      </c>
      <c r="L62" s="12" t="str">
        <f t="shared" si="0"/>
        <v>15/04</v>
      </c>
      <c r="M62" s="12" t="str">
        <f t="shared" si="1"/>
        <v>a36</v>
      </c>
      <c r="N62" s="12" t="b">
        <f t="shared" si="2"/>
        <v>1</v>
      </c>
      <c r="O62" s="12">
        <f t="shared" si="3"/>
        <v>1</v>
      </c>
      <c r="P62" s="12" t="str">
        <f t="shared" si="4"/>
        <v>planned</v>
      </c>
    </row>
    <row r="63" spans="1:16" ht="15" customHeight="1" x14ac:dyDescent="0.3">
      <c r="A63" s="26">
        <v>16</v>
      </c>
      <c r="B63" s="29" t="s">
        <v>88</v>
      </c>
      <c r="C63" s="10">
        <v>1</v>
      </c>
      <c r="E63" s="14" t="s">
        <v>28</v>
      </c>
      <c r="F63" s="8">
        <v>1</v>
      </c>
      <c r="G63" s="11">
        <v>3</v>
      </c>
      <c r="H63" s="11">
        <v>3</v>
      </c>
      <c r="I63" s="19" t="s">
        <v>89</v>
      </c>
      <c r="J63" s="20" t="s">
        <v>52</v>
      </c>
      <c r="K63" s="15">
        <f t="shared" si="5"/>
        <v>16</v>
      </c>
      <c r="L63" s="12" t="str">
        <f t="shared" si="0"/>
        <v>16/01</v>
      </c>
      <c r="M63" s="12" t="str">
        <f t="shared" si="1"/>
        <v>b3</v>
      </c>
      <c r="N63" s="12" t="b">
        <f t="shared" si="2"/>
        <v>1</v>
      </c>
      <c r="O63" s="12">
        <f t="shared" si="3"/>
        <v>1</v>
      </c>
      <c r="P63" s="12" t="str">
        <f t="shared" si="4"/>
        <v>planned</v>
      </c>
    </row>
    <row r="64" spans="1:16" ht="15" customHeight="1" x14ac:dyDescent="0.3">
      <c r="A64" s="27"/>
      <c r="B64" s="30"/>
      <c r="C64" s="10">
        <v>2</v>
      </c>
      <c r="E64" s="14" t="s">
        <v>28</v>
      </c>
      <c r="F64" s="8">
        <v>1</v>
      </c>
      <c r="G64" s="11">
        <v>6</v>
      </c>
      <c r="H64" s="11">
        <v>6</v>
      </c>
      <c r="I64" s="19" t="s">
        <v>15</v>
      </c>
      <c r="J64" s="20" t="s">
        <v>52</v>
      </c>
      <c r="K64" s="15">
        <f t="shared" si="5"/>
        <v>16</v>
      </c>
      <c r="L64" s="12" t="str">
        <f t="shared" si="0"/>
        <v>16/02</v>
      </c>
      <c r="M64" s="12" t="str">
        <f t="shared" si="1"/>
        <v>b6</v>
      </c>
      <c r="N64" s="12" t="b">
        <f t="shared" si="2"/>
        <v>1</v>
      </c>
      <c r="O64" s="12">
        <f t="shared" si="3"/>
        <v>1</v>
      </c>
      <c r="P64" s="12" t="str">
        <f t="shared" si="4"/>
        <v>planned</v>
      </c>
    </row>
    <row r="65" spans="1:16" ht="15" customHeight="1" x14ac:dyDescent="0.3">
      <c r="A65" s="27"/>
      <c r="B65" s="30"/>
      <c r="C65" s="10">
        <v>3</v>
      </c>
      <c r="E65" s="16" t="s">
        <v>28</v>
      </c>
      <c r="F65" s="8">
        <v>1</v>
      </c>
      <c r="G65" s="11">
        <v>12</v>
      </c>
      <c r="H65" s="16">
        <v>12</v>
      </c>
      <c r="I65" s="20" t="s">
        <v>90</v>
      </c>
      <c r="J65" s="20" t="s">
        <v>52</v>
      </c>
      <c r="K65" s="15">
        <f t="shared" si="5"/>
        <v>16</v>
      </c>
      <c r="L65" s="12" t="str">
        <f t="shared" si="0"/>
        <v>16/03</v>
      </c>
      <c r="M65" s="12" t="str">
        <f t="shared" si="1"/>
        <v>b12</v>
      </c>
      <c r="N65" s="12" t="b">
        <f t="shared" si="2"/>
        <v>1</v>
      </c>
      <c r="O65" s="12">
        <f t="shared" si="3"/>
        <v>1</v>
      </c>
      <c r="P65" s="12" t="str">
        <f t="shared" si="4"/>
        <v>planned</v>
      </c>
    </row>
    <row r="66" spans="1:16" ht="15" customHeight="1" x14ac:dyDescent="0.3">
      <c r="A66" s="28"/>
      <c r="B66" s="31"/>
      <c r="C66" s="10">
        <v>4</v>
      </c>
      <c r="E66" s="16" t="s">
        <v>28</v>
      </c>
      <c r="F66" s="8">
        <v>2</v>
      </c>
      <c r="G66" s="9">
        <v>6</v>
      </c>
      <c r="H66" s="16">
        <v>18</v>
      </c>
      <c r="I66" s="20" t="s">
        <v>91</v>
      </c>
      <c r="J66" s="20" t="s">
        <v>52</v>
      </c>
      <c r="K66" s="15">
        <f t="shared" si="5"/>
        <v>16</v>
      </c>
      <c r="L66" s="12" t="str">
        <f t="shared" si="0"/>
        <v>16/04</v>
      </c>
      <c r="M66" s="12" t="str">
        <f t="shared" si="1"/>
        <v>b18</v>
      </c>
      <c r="N66" s="12" t="b">
        <f t="shared" si="2"/>
        <v>1</v>
      </c>
      <c r="O66" s="12">
        <f t="shared" si="3"/>
        <v>1</v>
      </c>
      <c r="P66" s="12" t="str">
        <f t="shared" si="4"/>
        <v>planned</v>
      </c>
    </row>
    <row r="67" spans="1:16" ht="15" customHeight="1" x14ac:dyDescent="0.3">
      <c r="A67" s="26">
        <v>17</v>
      </c>
      <c r="B67" s="29" t="s">
        <v>92</v>
      </c>
      <c r="C67" s="10">
        <v>1</v>
      </c>
      <c r="E67" s="16" t="s">
        <v>28</v>
      </c>
      <c r="F67" s="8">
        <v>2</v>
      </c>
      <c r="G67" s="11">
        <v>9</v>
      </c>
      <c r="H67" s="16">
        <v>21</v>
      </c>
      <c r="I67" s="20" t="s">
        <v>93</v>
      </c>
      <c r="J67" s="20" t="s">
        <v>52</v>
      </c>
      <c r="K67" s="15">
        <f t="shared" si="5"/>
        <v>17</v>
      </c>
      <c r="L67" s="12" t="str">
        <f t="shared" si="0"/>
        <v>17/01</v>
      </c>
      <c r="M67" s="12" t="str">
        <f t="shared" si="1"/>
        <v>b21</v>
      </c>
      <c r="N67" s="12" t="b">
        <f t="shared" si="2"/>
        <v>1</v>
      </c>
      <c r="O67" s="12">
        <f t="shared" si="3"/>
        <v>1</v>
      </c>
      <c r="P67" s="12" t="str">
        <f t="shared" si="4"/>
        <v>planned</v>
      </c>
    </row>
    <row r="68" spans="1:16" ht="15" customHeight="1" x14ac:dyDescent="0.3">
      <c r="A68" s="27"/>
      <c r="B68" s="30"/>
      <c r="C68" s="10">
        <v>2</v>
      </c>
      <c r="E68" s="16" t="s">
        <v>28</v>
      </c>
      <c r="F68" s="8">
        <v>3</v>
      </c>
      <c r="G68" s="11">
        <v>3</v>
      </c>
      <c r="H68" s="16">
        <v>27</v>
      </c>
      <c r="I68" s="20" t="s">
        <v>94</v>
      </c>
      <c r="J68" s="20" t="s">
        <v>52</v>
      </c>
      <c r="K68" s="15">
        <f t="shared" si="5"/>
        <v>17</v>
      </c>
      <c r="L68" s="12" t="str">
        <f t="shared" ref="L68:L74" si="6">_xlfn.CONCAT(TEXT(K68,"00"),"/0",C68)</f>
        <v>17/02</v>
      </c>
      <c r="M68" s="12" t="str">
        <f t="shared" ref="M68:M74" si="7">_xlfn.CONCAT(RIGHT(E68,1),H68)</f>
        <v>b27</v>
      </c>
      <c r="N68" s="12" t="b">
        <f t="shared" ref="N68:N74" si="8">(F68-1)*12+G68=H68</f>
        <v>1</v>
      </c>
      <c r="O68" s="12">
        <f t="shared" ref="O68:O74" si="9">COUNTIF(M:M,M68)</f>
        <v>1</v>
      </c>
      <c r="P68" s="12" t="str">
        <f t="shared" ref="P68:P74" si="10">IF(J68="YES","connected","planned")</f>
        <v>planned</v>
      </c>
    </row>
    <row r="69" spans="1:16" ht="15" customHeight="1" x14ac:dyDescent="0.3">
      <c r="A69" s="27"/>
      <c r="B69" s="30"/>
      <c r="C69" s="10">
        <v>3</v>
      </c>
      <c r="E69" s="16" t="s">
        <v>28</v>
      </c>
      <c r="F69" s="8">
        <v>3</v>
      </c>
      <c r="G69" s="11">
        <v>6</v>
      </c>
      <c r="H69" s="16">
        <v>30</v>
      </c>
      <c r="I69" s="20" t="s">
        <v>95</v>
      </c>
      <c r="J69" s="20" t="s">
        <v>52</v>
      </c>
      <c r="K69" s="15">
        <f t="shared" si="5"/>
        <v>17</v>
      </c>
      <c r="L69" s="12" t="str">
        <f t="shared" si="6"/>
        <v>17/03</v>
      </c>
      <c r="M69" s="12" t="str">
        <f t="shared" si="7"/>
        <v>b30</v>
      </c>
      <c r="N69" s="12" t="b">
        <f t="shared" si="8"/>
        <v>1</v>
      </c>
      <c r="O69" s="12">
        <f t="shared" si="9"/>
        <v>1</v>
      </c>
      <c r="P69" s="12" t="str">
        <f t="shared" si="10"/>
        <v>planned</v>
      </c>
    </row>
    <row r="70" spans="1:16" ht="15" customHeight="1" x14ac:dyDescent="0.3">
      <c r="A70" s="28"/>
      <c r="B70" s="31"/>
      <c r="C70" s="10">
        <v>4</v>
      </c>
      <c r="E70" s="16" t="s">
        <v>41</v>
      </c>
      <c r="F70" s="8">
        <v>1</v>
      </c>
      <c r="G70" s="9">
        <v>3</v>
      </c>
      <c r="H70" s="16">
        <v>3</v>
      </c>
      <c r="I70" s="20" t="s">
        <v>96</v>
      </c>
      <c r="J70" s="20" t="s">
        <v>52</v>
      </c>
      <c r="K70" s="15">
        <f t="shared" si="5"/>
        <v>17</v>
      </c>
      <c r="L70" s="12" t="str">
        <f t="shared" si="6"/>
        <v>17/04</v>
      </c>
      <c r="M70" s="12" t="str">
        <f t="shared" si="7"/>
        <v>d3</v>
      </c>
      <c r="N70" s="12" t="b">
        <f t="shared" si="8"/>
        <v>1</v>
      </c>
      <c r="O70" s="12">
        <f t="shared" si="9"/>
        <v>1</v>
      </c>
      <c r="P70" s="12" t="str">
        <f t="shared" si="10"/>
        <v>planned</v>
      </c>
    </row>
    <row r="71" spans="1:16" ht="15" customHeight="1" x14ac:dyDescent="0.3">
      <c r="A71" s="26">
        <v>18</v>
      </c>
      <c r="B71" s="29" t="s">
        <v>97</v>
      </c>
      <c r="C71" s="10">
        <v>1</v>
      </c>
      <c r="E71" s="16" t="s">
        <v>28</v>
      </c>
      <c r="F71" s="8">
        <v>3</v>
      </c>
      <c r="G71" s="11">
        <v>9</v>
      </c>
      <c r="H71" s="16">
        <v>33</v>
      </c>
      <c r="I71" s="20" t="s">
        <v>98</v>
      </c>
      <c r="J71" s="20" t="s">
        <v>52</v>
      </c>
      <c r="K71" s="15">
        <f t="shared" si="5"/>
        <v>18</v>
      </c>
      <c r="L71" s="12" t="str">
        <f t="shared" si="6"/>
        <v>18/01</v>
      </c>
      <c r="M71" s="12" t="str">
        <f t="shared" si="7"/>
        <v>b33</v>
      </c>
      <c r="N71" s="12" t="b">
        <f t="shared" si="8"/>
        <v>1</v>
      </c>
      <c r="O71" s="12">
        <f t="shared" si="9"/>
        <v>1</v>
      </c>
      <c r="P71" s="12" t="str">
        <f t="shared" si="10"/>
        <v>planned</v>
      </c>
    </row>
    <row r="72" spans="1:16" ht="15" customHeight="1" x14ac:dyDescent="0.3">
      <c r="A72" s="27"/>
      <c r="B72" s="30"/>
      <c r="C72" s="10">
        <v>2</v>
      </c>
      <c r="E72" s="16" t="s">
        <v>28</v>
      </c>
      <c r="F72" s="8">
        <v>3</v>
      </c>
      <c r="G72" s="9">
        <v>12</v>
      </c>
      <c r="H72" s="16">
        <v>36</v>
      </c>
      <c r="I72" s="20" t="s">
        <v>99</v>
      </c>
      <c r="J72" s="20" t="s">
        <v>52</v>
      </c>
      <c r="K72" s="15">
        <f t="shared" ref="K72:K74" si="11">K68+1</f>
        <v>18</v>
      </c>
      <c r="L72" s="12" t="str">
        <f t="shared" si="6"/>
        <v>18/02</v>
      </c>
      <c r="M72" s="12" t="str">
        <f t="shared" si="7"/>
        <v>b36</v>
      </c>
      <c r="N72" s="12" t="b">
        <f t="shared" si="8"/>
        <v>1</v>
      </c>
      <c r="O72" s="12">
        <f t="shared" si="9"/>
        <v>1</v>
      </c>
      <c r="P72" s="12" t="str">
        <f t="shared" si="10"/>
        <v>planned</v>
      </c>
    </row>
    <row r="73" spans="1:16" ht="15" customHeight="1" x14ac:dyDescent="0.3">
      <c r="A73" s="27"/>
      <c r="B73" s="30"/>
      <c r="C73" s="10">
        <v>3</v>
      </c>
      <c r="E73" s="16" t="s">
        <v>28</v>
      </c>
      <c r="F73" s="8">
        <v>1</v>
      </c>
      <c r="G73" s="9">
        <v>7</v>
      </c>
      <c r="H73" s="16">
        <v>7</v>
      </c>
      <c r="I73" s="19" t="s">
        <v>15</v>
      </c>
      <c r="J73" s="20" t="s">
        <v>52</v>
      </c>
      <c r="K73" s="15">
        <f t="shared" si="11"/>
        <v>18</v>
      </c>
      <c r="L73" s="12" t="str">
        <f t="shared" si="6"/>
        <v>18/03</v>
      </c>
      <c r="M73" s="12" t="str">
        <f t="shared" si="7"/>
        <v>b7</v>
      </c>
      <c r="N73" s="12" t="b">
        <f t="shared" si="8"/>
        <v>1</v>
      </c>
      <c r="O73" s="12">
        <f t="shared" si="9"/>
        <v>1</v>
      </c>
      <c r="P73" s="12" t="str">
        <f t="shared" si="10"/>
        <v>planned</v>
      </c>
    </row>
    <row r="74" spans="1:16" ht="15" customHeight="1" x14ac:dyDescent="0.3">
      <c r="A74" s="28"/>
      <c r="B74" s="31"/>
      <c r="C74" s="10">
        <v>4</v>
      </c>
      <c r="E74" s="16" t="s">
        <v>28</v>
      </c>
      <c r="F74" s="8">
        <v>1</v>
      </c>
      <c r="G74" s="11">
        <v>8</v>
      </c>
      <c r="H74" s="16">
        <v>8</v>
      </c>
      <c r="I74" s="19" t="s">
        <v>15</v>
      </c>
      <c r="J74" s="20" t="s">
        <v>52</v>
      </c>
      <c r="K74" s="15">
        <f t="shared" si="11"/>
        <v>18</v>
      </c>
      <c r="L74" s="12" t="str">
        <f t="shared" si="6"/>
        <v>18/04</v>
      </c>
      <c r="M74" s="12" t="str">
        <f t="shared" si="7"/>
        <v>b8</v>
      </c>
      <c r="N74" s="12" t="b">
        <f t="shared" si="8"/>
        <v>1</v>
      </c>
      <c r="O74" s="12">
        <f t="shared" si="9"/>
        <v>1</v>
      </c>
      <c r="P74" s="12" t="str">
        <f t="shared" si="10"/>
        <v>planned</v>
      </c>
    </row>
    <row r="75" spans="1:16" ht="15" customHeight="1" x14ac:dyDescent="0.3">
      <c r="A75" s="26">
        <v>19</v>
      </c>
      <c r="B75" s="29" t="s">
        <v>100</v>
      </c>
      <c r="C75" s="10">
        <v>1</v>
      </c>
    </row>
    <row r="76" spans="1:16" ht="15" customHeight="1" x14ac:dyDescent="0.3">
      <c r="A76" s="27"/>
      <c r="B76" s="30"/>
      <c r="C76" s="10">
        <v>2</v>
      </c>
    </row>
    <row r="77" spans="1:16" ht="15" customHeight="1" x14ac:dyDescent="0.3">
      <c r="A77" s="27"/>
      <c r="B77" s="30"/>
      <c r="C77" s="10">
        <v>3</v>
      </c>
    </row>
    <row r="78" spans="1:16" ht="15" customHeight="1" x14ac:dyDescent="0.3">
      <c r="A78" s="28"/>
      <c r="B78" s="31"/>
      <c r="C78" s="10">
        <v>4</v>
      </c>
    </row>
    <row r="79" spans="1:16" ht="15" customHeight="1" x14ac:dyDescent="0.3">
      <c r="A79" s="26">
        <v>20</v>
      </c>
      <c r="B79" s="29" t="s">
        <v>101</v>
      </c>
      <c r="C79" s="10">
        <v>1</v>
      </c>
    </row>
    <row r="80" spans="1:16" ht="15" customHeight="1" x14ac:dyDescent="0.3">
      <c r="A80" s="27"/>
      <c r="B80" s="30"/>
      <c r="C80" s="10">
        <v>2</v>
      </c>
    </row>
    <row r="81" spans="1:9" ht="15" customHeight="1" x14ac:dyDescent="0.3">
      <c r="A81" s="27"/>
      <c r="B81" s="30"/>
      <c r="C81" s="10">
        <v>3</v>
      </c>
    </row>
    <row r="82" spans="1:9" ht="15" customHeight="1" x14ac:dyDescent="0.3">
      <c r="A82" s="28"/>
      <c r="B82" s="31"/>
      <c r="C82" s="10">
        <v>4</v>
      </c>
    </row>
    <row r="83" spans="1:9" ht="15" customHeight="1" x14ac:dyDescent="0.3">
      <c r="A83" s="26">
        <v>21</v>
      </c>
      <c r="B83" s="29" t="s">
        <v>102</v>
      </c>
      <c r="C83" s="10">
        <v>1</v>
      </c>
    </row>
    <row r="84" spans="1:9" ht="15" customHeight="1" x14ac:dyDescent="0.3">
      <c r="A84" s="27"/>
      <c r="B84" s="30"/>
      <c r="C84" s="10">
        <v>2</v>
      </c>
    </row>
    <row r="85" spans="1:9" ht="15" customHeight="1" x14ac:dyDescent="0.3">
      <c r="A85" s="27"/>
      <c r="B85" s="30"/>
      <c r="C85" s="10">
        <v>3</v>
      </c>
    </row>
    <row r="86" spans="1:9" ht="15" customHeight="1" x14ac:dyDescent="0.3">
      <c r="A86" s="28"/>
      <c r="B86" s="31"/>
      <c r="C86" s="10">
        <v>4</v>
      </c>
    </row>
    <row r="87" spans="1:9" ht="15" customHeight="1" x14ac:dyDescent="0.3">
      <c r="A87" s="26">
        <v>22</v>
      </c>
      <c r="B87" s="29" t="s">
        <v>103</v>
      </c>
      <c r="C87" s="10">
        <v>1</v>
      </c>
    </row>
    <row r="88" spans="1:9" ht="15" customHeight="1" x14ac:dyDescent="0.3">
      <c r="A88" s="27"/>
      <c r="B88" s="30"/>
      <c r="C88" s="10">
        <v>2</v>
      </c>
    </row>
    <row r="89" spans="1:9" ht="15" customHeight="1" x14ac:dyDescent="0.3">
      <c r="A89" s="27"/>
      <c r="B89" s="30"/>
      <c r="C89" s="10">
        <v>3</v>
      </c>
    </row>
    <row r="90" spans="1:9" ht="15" customHeight="1" x14ac:dyDescent="0.3">
      <c r="A90" s="28"/>
      <c r="B90" s="31"/>
      <c r="C90" s="10">
        <v>4</v>
      </c>
    </row>
    <row r="91" spans="1:9" ht="14.25" customHeight="1" x14ac:dyDescent="0.3">
      <c r="E91" s="16" t="s">
        <v>28</v>
      </c>
      <c r="F91" s="8">
        <v>1</v>
      </c>
      <c r="G91" s="11">
        <v>9</v>
      </c>
      <c r="H91" s="16">
        <v>9</v>
      </c>
      <c r="I91" s="16" t="s">
        <v>15</v>
      </c>
    </row>
    <row r="92" spans="1:9" ht="14.25" customHeight="1" x14ac:dyDescent="0.3">
      <c r="E92" s="16" t="s">
        <v>11</v>
      </c>
      <c r="F92" s="8">
        <v>1</v>
      </c>
      <c r="G92" s="11">
        <v>3</v>
      </c>
      <c r="H92" s="16">
        <v>3</v>
      </c>
      <c r="I92" s="16" t="s">
        <v>15</v>
      </c>
    </row>
    <row r="93" spans="1:9" ht="14.25" customHeight="1" x14ac:dyDescent="0.3">
      <c r="E93" s="16" t="s">
        <v>11</v>
      </c>
      <c r="F93" s="8">
        <v>1</v>
      </c>
      <c r="G93" s="11">
        <v>6</v>
      </c>
      <c r="H93" s="16">
        <v>6</v>
      </c>
      <c r="I93" s="16" t="s">
        <v>15</v>
      </c>
    </row>
    <row r="94" spans="1:9" ht="15" customHeight="1" x14ac:dyDescent="0.3">
      <c r="E94" s="16" t="s">
        <v>11</v>
      </c>
      <c r="F94" s="8">
        <v>1</v>
      </c>
      <c r="G94" s="9">
        <v>12</v>
      </c>
      <c r="H94" s="16">
        <v>12</v>
      </c>
      <c r="I94" s="16" t="s">
        <v>15</v>
      </c>
    </row>
    <row r="95" spans="1:9" ht="15" customHeight="1" x14ac:dyDescent="0.3">
      <c r="E95" s="16" t="s">
        <v>28</v>
      </c>
      <c r="F95" s="8">
        <v>2</v>
      </c>
      <c r="G95" s="11">
        <v>2</v>
      </c>
      <c r="H95" s="16">
        <v>14</v>
      </c>
      <c r="I95" s="16" t="s">
        <v>15</v>
      </c>
    </row>
    <row r="96" spans="1:9" ht="15" customHeight="1" x14ac:dyDescent="0.3">
      <c r="E96" s="16" t="s">
        <v>28</v>
      </c>
      <c r="F96" s="16">
        <v>2</v>
      </c>
      <c r="G96" s="16">
        <v>3</v>
      </c>
      <c r="H96" s="16">
        <v>15</v>
      </c>
      <c r="I96" s="16" t="s">
        <v>15</v>
      </c>
    </row>
    <row r="97" spans="5:9" ht="15" customHeight="1" x14ac:dyDescent="0.3">
      <c r="E97" s="16" t="s">
        <v>11</v>
      </c>
      <c r="F97" s="16">
        <v>2</v>
      </c>
      <c r="G97" s="16">
        <v>5</v>
      </c>
      <c r="H97" s="16">
        <v>17</v>
      </c>
      <c r="I97" s="16" t="s">
        <v>15</v>
      </c>
    </row>
    <row r="98" spans="5:9" ht="15" customHeight="1" x14ac:dyDescent="0.3">
      <c r="E98" s="16" t="s">
        <v>11</v>
      </c>
      <c r="F98" s="16">
        <v>2</v>
      </c>
      <c r="G98" s="16">
        <v>6</v>
      </c>
      <c r="H98" s="16">
        <v>18</v>
      </c>
      <c r="I98" s="16" t="s">
        <v>15</v>
      </c>
    </row>
    <row r="99" spans="5:9" ht="15" customHeight="1" x14ac:dyDescent="0.3">
      <c r="E99" s="16" t="s">
        <v>28</v>
      </c>
      <c r="F99" s="16">
        <v>2</v>
      </c>
      <c r="G99" s="16">
        <v>12</v>
      </c>
      <c r="H99" s="16">
        <v>24</v>
      </c>
      <c r="I99" s="16" t="s">
        <v>15</v>
      </c>
    </row>
    <row r="100" spans="5:9" ht="15" customHeight="1" x14ac:dyDescent="0.3">
      <c r="E100" s="16" t="s">
        <v>11</v>
      </c>
      <c r="F100" s="16">
        <v>2</v>
      </c>
      <c r="G100" s="16">
        <v>12</v>
      </c>
      <c r="H100" s="16">
        <v>24</v>
      </c>
      <c r="I100" s="16" t="s">
        <v>15</v>
      </c>
    </row>
    <row r="101" spans="5:9" ht="15" customHeight="1" x14ac:dyDescent="0.3">
      <c r="E101" s="16" t="s">
        <v>28</v>
      </c>
      <c r="F101" s="16">
        <v>4</v>
      </c>
      <c r="G101" s="16">
        <v>3</v>
      </c>
      <c r="H101" s="16">
        <v>39</v>
      </c>
      <c r="I101" s="16" t="s">
        <v>15</v>
      </c>
    </row>
    <row r="102" spans="5:9" ht="15" customHeight="1" x14ac:dyDescent="0.3">
      <c r="E102" s="16" t="s">
        <v>28</v>
      </c>
      <c r="F102" s="16">
        <v>4</v>
      </c>
      <c r="G102" s="16">
        <v>6</v>
      </c>
      <c r="H102" s="16">
        <v>42</v>
      </c>
      <c r="I102" s="16" t="s">
        <v>15</v>
      </c>
    </row>
    <row r="103" spans="5:9" ht="15" customHeight="1" x14ac:dyDescent="0.3"/>
    <row r="104" spans="5:9" ht="15" customHeight="1" x14ac:dyDescent="0.3"/>
    <row r="105" spans="5:9" ht="15" customHeight="1" x14ac:dyDescent="0.3"/>
    <row r="106" spans="5:9" ht="15" customHeight="1" x14ac:dyDescent="0.3"/>
    <row r="107" spans="5:9" ht="15" customHeight="1" x14ac:dyDescent="0.3"/>
    <row r="108" spans="5:9" ht="15" customHeight="1" x14ac:dyDescent="0.3"/>
    <row r="109" spans="5:9" ht="15" customHeight="1" x14ac:dyDescent="0.3"/>
    <row r="110" spans="5:9" ht="15" customHeight="1" x14ac:dyDescent="0.3"/>
    <row r="111" spans="5:9" ht="15" customHeight="1" x14ac:dyDescent="0.3"/>
    <row r="112" spans="5:9" ht="15" customHeight="1" x14ac:dyDescent="0.3"/>
    <row r="113" ht="18.75" customHeight="1" x14ac:dyDescent="0.3"/>
    <row r="114" ht="18.75" customHeight="1" x14ac:dyDescent="0.3"/>
    <row r="115" ht="15" customHeight="1" x14ac:dyDescent="0.3"/>
    <row r="116" ht="15" customHeight="1" x14ac:dyDescent="0.3"/>
    <row r="117" ht="15" customHeight="1" x14ac:dyDescent="0.3"/>
    <row r="118" ht="15" customHeight="1" x14ac:dyDescent="0.3"/>
    <row r="119" ht="15" customHeight="1" x14ac:dyDescent="0.3"/>
    <row r="120" ht="15" customHeight="1" x14ac:dyDescent="0.3"/>
    <row r="121" ht="15" customHeight="1" x14ac:dyDescent="0.3"/>
    <row r="122" ht="15" customHeight="1" x14ac:dyDescent="0.3"/>
    <row r="123" ht="15" customHeight="1" x14ac:dyDescent="0.3"/>
    <row r="124" ht="15" customHeight="1" x14ac:dyDescent="0.3"/>
    <row r="125" ht="15" customHeight="1" x14ac:dyDescent="0.3"/>
    <row r="126" ht="15" customHeight="1" x14ac:dyDescent="0.3"/>
    <row r="127" ht="15" customHeight="1" x14ac:dyDescent="0.3"/>
    <row r="128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" customHeight="1" x14ac:dyDescent="0.3"/>
    <row r="138" ht="1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  <row r="143" ht="15" customHeight="1" x14ac:dyDescent="0.3"/>
    <row r="144" ht="15" customHeight="1" x14ac:dyDescent="0.3"/>
    <row r="145" ht="15" customHeight="1" x14ac:dyDescent="0.3"/>
    <row r="146" ht="15" customHeight="1" x14ac:dyDescent="0.3"/>
    <row r="147" ht="15" customHeight="1" x14ac:dyDescent="0.3"/>
    <row r="148" ht="15" customHeight="1" x14ac:dyDescent="0.3"/>
    <row r="149" ht="15" customHeight="1" x14ac:dyDescent="0.3"/>
    <row r="150" ht="15" customHeight="1" x14ac:dyDescent="0.3"/>
    <row r="151" ht="15" customHeight="1" x14ac:dyDescent="0.3"/>
    <row r="152" ht="15" customHeight="1" x14ac:dyDescent="0.3"/>
    <row r="153" ht="15" customHeight="1" x14ac:dyDescent="0.3"/>
    <row r="154" ht="15" customHeight="1" x14ac:dyDescent="0.3"/>
    <row r="164" ht="15" customHeight="1" x14ac:dyDescent="0.3"/>
    <row r="165" ht="15" customHeight="1" x14ac:dyDescent="0.3"/>
    <row r="166" ht="15" customHeight="1" x14ac:dyDescent="0.3"/>
    <row r="167" ht="15" customHeight="1" x14ac:dyDescent="0.3"/>
    <row r="168" ht="15" customHeight="1" x14ac:dyDescent="0.3"/>
    <row r="169" ht="15" customHeight="1" x14ac:dyDescent="0.3"/>
    <row r="170" ht="15" customHeight="1" x14ac:dyDescent="0.3"/>
    <row r="171" ht="15" customHeight="1" x14ac:dyDescent="0.3"/>
  </sheetData>
  <mergeCells count="46">
    <mergeCell ref="A83:A86"/>
    <mergeCell ref="B83:B86"/>
    <mergeCell ref="A87:A90"/>
    <mergeCell ref="B87:B90"/>
    <mergeCell ref="A71:A74"/>
    <mergeCell ref="B71:B74"/>
    <mergeCell ref="A75:A78"/>
    <mergeCell ref="B75:B78"/>
    <mergeCell ref="A79:A82"/>
    <mergeCell ref="B79:B82"/>
    <mergeCell ref="A59:A62"/>
    <mergeCell ref="B59:B62"/>
    <mergeCell ref="A63:A66"/>
    <mergeCell ref="B63:B66"/>
    <mergeCell ref="A67:A70"/>
    <mergeCell ref="B67:B70"/>
    <mergeCell ref="A47:A50"/>
    <mergeCell ref="B47:B50"/>
    <mergeCell ref="A51:A54"/>
    <mergeCell ref="B51:B54"/>
    <mergeCell ref="A55:A58"/>
    <mergeCell ref="B55:B58"/>
    <mergeCell ref="A35:A38"/>
    <mergeCell ref="B35:B38"/>
    <mergeCell ref="A39:A42"/>
    <mergeCell ref="B39:B42"/>
    <mergeCell ref="A43:A46"/>
    <mergeCell ref="B43:B46"/>
    <mergeCell ref="A23:A26"/>
    <mergeCell ref="B23:B26"/>
    <mergeCell ref="A27:A30"/>
    <mergeCell ref="B27:B30"/>
    <mergeCell ref="A31:A34"/>
    <mergeCell ref="B31:B34"/>
    <mergeCell ref="A11:A14"/>
    <mergeCell ref="B11:B14"/>
    <mergeCell ref="A15:A18"/>
    <mergeCell ref="B15:B18"/>
    <mergeCell ref="A19:A22"/>
    <mergeCell ref="B19:B22"/>
    <mergeCell ref="A1:C1"/>
    <mergeCell ref="E1:I1"/>
    <mergeCell ref="A3:A6"/>
    <mergeCell ref="B3:B6"/>
    <mergeCell ref="A7:A10"/>
    <mergeCell ref="B7:B10"/>
  </mergeCells>
  <conditionalFormatting sqref="A3:H29 E30:H74 E91:H102 A30:D90">
    <cfRule type="cellIs" dxfId="24" priority="13" operator="equal">
      <formula>13</formula>
    </cfRule>
    <cfRule type="cellIs" dxfId="23" priority="14" operator="equal">
      <formula>1</formula>
    </cfRule>
  </conditionalFormatting>
  <conditionalFormatting sqref="A1:AD3 C4:I6 A7:I7 C8:I29 E30:I74 A91:I1048576 J4:AD74 A11:B11 A15:B15 A19:B19 A23:B23 A27:B27 C30:D90 A31:B31 A35:B35 A39:B39 A43:B43 A47:B47 A51:B51 A55:B55 A59:B59 A63:B63 A67:B67 A71:B71 A75:B75 L75:AD1048576 A79:B79 A83:B83 A87:B87 J89:K1048576">
    <cfRule type="cellIs" dxfId="22" priority="2" operator="equal">
      <formula>24</formula>
    </cfRule>
    <cfRule type="cellIs" dxfId="21" priority="3" operator="equal">
      <formula>23</formula>
    </cfRule>
    <cfRule type="cellIs" dxfId="20" priority="4" operator="equal">
      <formula>22</formula>
    </cfRule>
    <cfRule type="cellIs" dxfId="19" priority="5" operator="equal">
      <formula>21</formula>
    </cfRule>
    <cfRule type="cellIs" dxfId="18" priority="6" operator="equal">
      <formula>20</formula>
    </cfRule>
    <cfRule type="cellIs" dxfId="17" priority="7" operator="equal">
      <formula>19</formula>
    </cfRule>
    <cfRule type="cellIs" dxfId="16" priority="9" operator="equal">
      <formula>17</formula>
    </cfRule>
    <cfRule type="cellIs" dxfId="15" priority="10" operator="equal">
      <formula>16</formula>
    </cfRule>
    <cfRule type="cellIs" dxfId="14" priority="11" operator="equal">
      <formula>15</formula>
    </cfRule>
    <cfRule type="cellIs" dxfId="13" priority="12" operator="equal">
      <formula>14</formula>
    </cfRule>
    <cfRule type="cellIs" dxfId="12" priority="15" operator="equal">
      <formula>2</formula>
    </cfRule>
    <cfRule type="cellIs" dxfId="11" priority="16" operator="equal">
      <formula>3</formula>
    </cfRule>
    <cfRule type="cellIs" dxfId="10" priority="17" operator="equal">
      <formula>4</formula>
    </cfRule>
    <cfRule type="cellIs" dxfId="9" priority="18" operator="equal">
      <formula>5</formula>
    </cfRule>
    <cfRule type="cellIs" dxfId="8" priority="20" operator="equal">
      <formula>7</formula>
    </cfRule>
    <cfRule type="cellIs" dxfId="7" priority="21" operator="equal">
      <formula>8</formula>
    </cfRule>
    <cfRule type="cellIs" dxfId="6" priority="22" operator="equal">
      <formula>9</formula>
    </cfRule>
    <cfRule type="cellIs" dxfId="5" priority="23" operator="equal">
      <formula>10</formula>
    </cfRule>
    <cfRule type="cellIs" dxfId="4" priority="24" operator="equal">
      <formula>11</formula>
    </cfRule>
    <cfRule type="cellIs" dxfId="3" priority="25" operator="equal">
      <formula>12</formula>
    </cfRule>
  </conditionalFormatting>
  <conditionalFormatting sqref="A1:AD3 C4:I6 J4:AD74 A7:I7 C8:I29 A11:B11 A15:B15 A19:B19 A23:B23 A27:B27 E30:I74 C30:D90 A31:B31 A35:B35 A39:B39 A43:B43 A47:B47 A51:B51 A55:B55 A59:B59 A63:B63 A67:B67 A71:B71 A75:B75 L75:AD1048576 A79:B79 A83:B83 A87:B87 J89:K1048576 A91:I1048576">
    <cfRule type="cellIs" dxfId="2" priority="8" operator="equal">
      <formula>18</formula>
    </cfRule>
    <cfRule type="cellIs" dxfId="1" priority="19" operator="equal">
      <formula>6</formula>
    </cfRule>
  </conditionalFormatting>
  <conditionalFormatting sqref="H2:H74 H91:H102">
    <cfRule type="cellIs" dxfId="0" priority="1" operator="greaterThanOrEqual">
      <formula>1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AD96368BBE5A46A588DCB3FE8B4C4C" ma:contentTypeVersion="7" ma:contentTypeDescription="Create a new document." ma:contentTypeScope="" ma:versionID="09490191a0fc5e6d2ff8ed22ebee463c">
  <xsd:schema xmlns:xsd="http://www.w3.org/2001/XMLSchema" xmlns:xs="http://www.w3.org/2001/XMLSchema" xmlns:p="http://schemas.microsoft.com/office/2006/metadata/properties" xmlns:ns2="4bd514cc-58fd-4e6b-ad0a-f608e189b339" targetNamespace="http://schemas.microsoft.com/office/2006/metadata/properties" ma:root="true" ma:fieldsID="a19cc35207f86b013e26ee622e6f48a9" ns2:_="">
    <xsd:import namespace="4bd514cc-58fd-4e6b-ad0a-f608e189b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d514cc-58fd-4e6b-ad0a-f608e189b3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103B90-71D2-4419-BA45-AD18D6D637C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30B8E87-AF01-45E3-A3EB-05512651C4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d514cc-58fd-4e6b-ad0a-f608e189b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C98190-067A-438F-A9A1-B9FA90C30D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HUL104A_D01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Shalana Ali</dc:creator>
  <cp:keywords/>
  <dc:description/>
  <cp:lastModifiedBy>Rana, Srishti (Cognizant)</cp:lastModifiedBy>
  <cp:revision/>
  <dcterms:created xsi:type="dcterms:W3CDTF">2022-11-10T18:19:30Z</dcterms:created>
  <dcterms:modified xsi:type="dcterms:W3CDTF">2025-11-25T16:16:52Z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0x01010097AD96368BBE5A46A588DCB3FE8B4C4C</vt:lpwstr>
  </property>
  <property fmtid="{D5CDD505-2E9C-101B-9397-08002B2CF9AE}" pid="3" name="MediaServiceImageTags">
    <vt:lpwstr/>
  </property>
  <property fmtid="{D5CDD505-2E9C-101B-9397-08002B2CF9AE}" pid="4" name="Order">
    <vt:r8>1458200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